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onnor/Google Drive/Documents/University/Courses/2020/ENGSCI 700A&amp;B/GOCPI/data/Inputs/XLS/"/>
    </mc:Choice>
  </mc:AlternateContent>
  <xr:revisionPtr revIDLastSave="0" documentId="8_{6467D4FF-91A8-4F4F-AAD7-425D6CF7CD29}" xr6:coauthVersionLast="45" xr6:coauthVersionMax="45" xr10:uidLastSave="{00000000-0000-0000-0000-000000000000}"/>
  <bookViews>
    <workbookView xWindow="0" yWindow="460" windowWidth="28800" windowHeight="16160" tabRatio="853" activeTab="1" xr2:uid="{00000000-000D-0000-FFFF-FFFF00000000}"/>
  </bookViews>
  <sheets>
    <sheet name="Region-Time Slices" sheetId="1" r:id="rId1"/>
    <sheet name="TimePeriods" sheetId="2" r:id="rId2"/>
    <sheet name="Import Settings" sheetId="3" r:id="rId3"/>
    <sheet name="Interpol_Extrapol_Defaults" sheetId="4" r:id="rId4"/>
    <sheet name="Constants" sheetId="5" r:id="rId5"/>
    <sheet name="Defaults" sheetId="6" r:id="rId6"/>
    <sheet name="Commodity Group" sheetId="7" r:id="rId7"/>
  </sheets>
  <externalReferences>
    <externalReference r:id="rId8"/>
  </externalReferences>
  <definedNames>
    <definedName name="FID_1">[1]AGR_Fuels!$A$2</definedName>
    <definedName name="StartYear">TimePeriods!$B$4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3" i="5" l="1"/>
  <c r="F23" i="5" s="1"/>
  <c r="E12" i="5" s="1"/>
  <c r="F32" i="5"/>
  <c r="D29" i="5"/>
  <c r="E27" i="5" s="1"/>
  <c r="E29" i="5" s="1"/>
  <c r="E28" i="5"/>
  <c r="D28" i="5"/>
  <c r="C23" i="5" l="1"/>
  <c r="D23" i="5"/>
  <c r="E10" i="5" s="1"/>
  <c r="E23" i="5"/>
  <c r="E11" i="5" s="1"/>
  <c r="E9" i="5" l="1"/>
  <c r="G2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Maurizio Gargiulo</author>
  </authors>
  <commentList>
    <comment ref="B4" authorId="0" shapeId="0" xr:uid="{00000000-0006-0000-0000-000001000000}">
      <text>
        <r>
          <rPr>
            <sz val="10"/>
            <rFont val="Arial"/>
          </rPr>
          <t>Automatically created for a New Project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Maurizio Gargiulo</author>
  </authors>
  <commentList>
    <comment ref="G6" authorId="0" shapeId="0" xr:uid="{00000000-0006-0000-0600-000001000000}">
      <text>
        <r>
          <rPr>
            <sz val="10"/>
            <rFont val="Arial"/>
          </rPr>
          <t>Possible definitions
Y or a positive number (mean apply this User CG in that region)
Empty mean this User CG is not applied in that region</t>
        </r>
      </text>
    </comment>
  </commentList>
</comments>
</file>

<file path=xl/sharedStrings.xml><?xml version="1.0" encoding="utf-8"?>
<sst xmlns="http://schemas.openxmlformats.org/spreadsheetml/2006/main" count="152" uniqueCount="99">
  <si>
    <t>~BookRegions_Map</t>
  </si>
  <si>
    <t>~TimeSlices</t>
  </si>
  <si>
    <t>BookName</t>
  </si>
  <si>
    <t>Region</t>
  </si>
  <si>
    <t>Season</t>
  </si>
  <si>
    <t>Weekly</t>
  </si>
  <si>
    <t>DayNite</t>
  </si>
  <si>
    <t>REG1</t>
  </si>
  <si>
    <t>S</t>
  </si>
  <si>
    <t>D</t>
  </si>
  <si>
    <t>REG2</t>
  </si>
  <si>
    <t>W</t>
  </si>
  <si>
    <t>N</t>
  </si>
  <si>
    <t>~StartYear</t>
  </si>
  <si>
    <t>~ActivePDef</t>
  </si>
  <si>
    <t>Pdef-11</t>
  </si>
  <si>
    <t>~TimePeriods</t>
  </si>
  <si>
    <t>Pdef-1</t>
  </si>
  <si>
    <t>Pdef-5</t>
  </si>
  <si>
    <t>~ImpSettings</t>
  </si>
  <si>
    <t>Option</t>
  </si>
  <si>
    <t>Value</t>
  </si>
  <si>
    <t>Check #DIV/0 and #REF errors in Templates</t>
  </si>
  <si>
    <t>Create Dummy Imports for Energy and Material Commodities</t>
  </si>
  <si>
    <t>Create Dummy Imports for Demands</t>
  </si>
  <si>
    <t>Generate Vintage Bounds</t>
  </si>
  <si>
    <t>DumVarforUC</t>
  </si>
  <si>
    <t>~TFM_UPD</t>
  </si>
  <si>
    <t>TimeSlice</t>
  </si>
  <si>
    <t>LimType</t>
  </si>
  <si>
    <t>Attribute</t>
  </si>
  <si>
    <t>Year</t>
  </si>
  <si>
    <t>AllRegions</t>
  </si>
  <si>
    <t>Pset_PN</t>
  </si>
  <si>
    <t>UP</t>
  </si>
  <si>
    <t>ACT_BND</t>
  </si>
  <si>
    <t>Share-O</t>
  </si>
  <si>
    <t>Share-I</t>
  </si>
  <si>
    <t>*Set a default price or apply a factor for those IMPorts with "Z" in the name.</t>
  </si>
  <si>
    <t>Dummy Imp Prices</t>
  </si>
  <si>
    <t>Other_Indexes</t>
  </si>
  <si>
    <t>Pset_Set</t>
  </si>
  <si>
    <t>Pset_PD</t>
  </si>
  <si>
    <t>Pset_CI</t>
  </si>
  <si>
    <t>Pset_CO</t>
  </si>
  <si>
    <t>Cset_Set</t>
  </si>
  <si>
    <t>Cset_CN</t>
  </si>
  <si>
    <t>Cset_CD</t>
  </si>
  <si>
    <t>ACTCOST</t>
  </si>
  <si>
    <t>IRE</t>
  </si>
  <si>
    <t>IMP*Z</t>
  </si>
  <si>
    <t>IMPDEMZ</t>
  </si>
  <si>
    <t>* Define constants for the model</t>
  </si>
  <si>
    <t>~TFM_INS</t>
  </si>
  <si>
    <t>G_DYEAR</t>
  </si>
  <si>
    <t>Discount</t>
  </si>
  <si>
    <t>SD</t>
  </si>
  <si>
    <t>YRFR</t>
  </si>
  <si>
    <t>SN</t>
  </si>
  <si>
    <t>WD</t>
  </si>
  <si>
    <t>WN</t>
  </si>
  <si>
    <t>COM_IE</t>
  </si>
  <si>
    <t>ELC</t>
  </si>
  <si>
    <t>Time slices</t>
  </si>
  <si>
    <t>Summer Day</t>
  </si>
  <si>
    <t>Summer Night</t>
  </si>
  <si>
    <t>Winter Day</t>
  </si>
  <si>
    <t>Winter Night</t>
  </si>
  <si>
    <t>Seasons</t>
  </si>
  <si>
    <t>N. of Days</t>
  </si>
  <si>
    <t>Fraction</t>
  </si>
  <si>
    <t>Summer</t>
  </si>
  <si>
    <t>Winter</t>
  </si>
  <si>
    <t xml:space="preserve">W </t>
  </si>
  <si>
    <t>Day</t>
  </si>
  <si>
    <t>Night</t>
  </si>
  <si>
    <t>~Currencies</t>
  </si>
  <si>
    <t>~DefUnits</t>
  </si>
  <si>
    <t>Currency</t>
  </si>
  <si>
    <t>PRI</t>
  </si>
  <si>
    <t>IND</t>
  </si>
  <si>
    <t>RCA</t>
  </si>
  <si>
    <t>TRA</t>
  </si>
  <si>
    <t>MEuro05</t>
  </si>
  <si>
    <t>Process_ActUnit</t>
  </si>
  <si>
    <t>PJ</t>
  </si>
  <si>
    <t>kPk</t>
  </si>
  <si>
    <t>Process_CapUnit</t>
  </si>
  <si>
    <t>Pja</t>
  </si>
  <si>
    <t>GW</t>
  </si>
  <si>
    <t>000_Units</t>
  </si>
  <si>
    <t>Commodity_Unit</t>
  </si>
  <si>
    <t>* Define the explicit commodity groups needed</t>
  </si>
  <si>
    <t>User-Defined CG</t>
  </si>
  <si>
    <t>~TFM_COMGRP</t>
  </si>
  <si>
    <t>Name</t>
  </si>
  <si>
    <t>Description</t>
  </si>
  <si>
    <t>\I:Commodity Group Name</t>
  </si>
  <si>
    <t>Commodity Group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</si>
</sst>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_-* #,##0.00_-;\-* #,##0.00_-;_-* &quot;-&quot;??_-;_-@_-"/>
  </numFmts>
  <fonts count="14">
    <font>
      <sz val="10"/>
      <name val="Arial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2"/>
      <color indexed="12"/>
      <name val="Arial"/>
      <family val="2"/>
    </font>
    <font>
      <sz val="10"/>
      <name val="Courier"/>
      <family val="3"/>
    </font>
    <font>
      <sz val="12"/>
      <color indexed="53"/>
      <name val="Arial"/>
      <family val="2"/>
    </font>
    <font>
      <sz val="14"/>
      <color indexed="9"/>
      <name val="Arial"/>
      <family val="2"/>
    </font>
    <font>
      <sz val="10"/>
      <color indexed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</font>
    <font>
      <b/>
      <sz val="10"/>
      <color rgb="FF0000FF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A72E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0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5" fontId="12" fillId="0" borderId="0"/>
    <xf numFmtId="0" fontId="4" fillId="0" borderId="0"/>
    <xf numFmtId="0" fontId="4" fillId="0" borderId="0"/>
    <xf numFmtId="0" fontId="6" fillId="0" borderId="0"/>
    <xf numFmtId="0" fontId="4" fillId="0" borderId="0"/>
  </cellStyleXfs>
  <cellXfs count="70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0" borderId="0" xfId="0" applyFont="1"/>
    <xf numFmtId="0" fontId="0" fillId="3" borderId="0" xfId="0" applyFill="1"/>
    <xf numFmtId="0" fontId="4" fillId="4" borderId="1" xfId="0" applyFont="1" applyFill="1" applyBorder="1"/>
    <xf numFmtId="0" fontId="7" fillId="0" borderId="0" xfId="0" applyFont="1"/>
    <xf numFmtId="0" fontId="5" fillId="0" borderId="0" xfId="0" applyFont="1"/>
    <xf numFmtId="0" fontId="8" fillId="5" borderId="0" xfId="0" applyFont="1" applyFill="1" applyAlignment="1">
      <alignment horizontal="left"/>
    </xf>
    <xf numFmtId="0" fontId="1" fillId="6" borderId="1" xfId="2" applyFont="1" applyFill="1" applyBorder="1" applyAlignment="1">
      <alignment horizontal="center" wrapText="1"/>
    </xf>
    <xf numFmtId="0" fontId="2" fillId="0" borderId="0" xfId="2" applyFont="1"/>
    <xf numFmtId="0" fontId="0" fillId="2" borderId="1" xfId="0" applyFill="1" applyBorder="1"/>
    <xf numFmtId="0" fontId="13" fillId="0" borderId="0" xfId="0" applyFont="1"/>
    <xf numFmtId="0" fontId="1" fillId="7" borderId="2" xfId="0" applyFont="1" applyFill="1" applyBorder="1"/>
    <xf numFmtId="0" fontId="4" fillId="0" borderId="0" xfId="0" applyFont="1"/>
    <xf numFmtId="0" fontId="4" fillId="9" borderId="1" xfId="0" applyFont="1" applyFill="1" applyBorder="1"/>
    <xf numFmtId="0" fontId="8" fillId="5" borderId="0" xfId="3" applyFont="1" applyFill="1"/>
    <xf numFmtId="0" fontId="9" fillId="5" borderId="0" xfId="3" applyFont="1" applyFill="1"/>
    <xf numFmtId="0" fontId="4" fillId="0" borderId="0" xfId="3"/>
    <xf numFmtId="0" fontId="3" fillId="0" borderId="0" xfId="2" applyFont="1" applyAlignment="1">
      <alignment horizontal="right"/>
    </xf>
    <xf numFmtId="0" fontId="10" fillId="4" borderId="3" xfId="2" applyFont="1" applyFill="1" applyBorder="1" applyAlignment="1">
      <alignment horizontal="left" vertical="center" wrapText="1"/>
    </xf>
    <xf numFmtId="0" fontId="10" fillId="4" borderId="4" xfId="2" applyFont="1" applyFill="1" applyBorder="1" applyAlignment="1">
      <alignment horizontal="center"/>
    </xf>
    <xf numFmtId="0" fontId="10" fillId="4" borderId="5" xfId="2" applyFont="1" applyFill="1" applyBorder="1" applyAlignment="1">
      <alignment horizontal="center"/>
    </xf>
    <xf numFmtId="0" fontId="10" fillId="4" borderId="6" xfId="2" applyFont="1" applyFill="1" applyBorder="1" applyAlignment="1">
      <alignment horizontal="center"/>
    </xf>
    <xf numFmtId="0" fontId="10" fillId="10" borderId="7" xfId="2" applyFont="1" applyFill="1" applyBorder="1" applyAlignment="1">
      <alignment horizontal="left" vertical="center" wrapText="1"/>
    </xf>
    <xf numFmtId="0" fontId="10" fillId="4" borderId="4" xfId="2" applyFont="1" applyFill="1" applyBorder="1" applyAlignment="1">
      <alignment horizontal="center" wrapText="1"/>
    </xf>
    <xf numFmtId="0" fontId="10" fillId="4" borderId="5" xfId="2" applyFont="1" applyFill="1" applyBorder="1" applyAlignment="1">
      <alignment horizontal="center" wrapText="1"/>
    </xf>
    <xf numFmtId="0" fontId="10" fillId="4" borderId="6" xfId="2" applyFont="1" applyFill="1" applyBorder="1" applyAlignment="1">
      <alignment horizontal="center" wrapText="1"/>
    </xf>
    <xf numFmtId="0" fontId="10" fillId="0" borderId="0" xfId="2" applyFont="1"/>
    <xf numFmtId="0" fontId="11" fillId="0" borderId="0" xfId="2" applyFont="1"/>
    <xf numFmtId="0" fontId="10" fillId="4" borderId="3" xfId="2" applyFont="1" applyFill="1" applyBorder="1" applyAlignment="1">
      <alignment horizontal="left"/>
    </xf>
    <xf numFmtId="0" fontId="10" fillId="4" borderId="9" xfId="2" quotePrefix="1" applyFont="1" applyFill="1" applyBorder="1" applyAlignment="1">
      <alignment horizontal="center"/>
    </xf>
    <xf numFmtId="0" fontId="10" fillId="4" borderId="9" xfId="2" applyFont="1" applyFill="1" applyBorder="1" applyAlignment="1">
      <alignment horizontal="center"/>
    </xf>
    <xf numFmtId="0" fontId="10" fillId="0" borderId="10" xfId="2" quotePrefix="1" applyFont="1" applyBorder="1" applyAlignment="1">
      <alignment horizontal="center"/>
    </xf>
    <xf numFmtId="0" fontId="10" fillId="4" borderId="11" xfId="2" applyFont="1" applyFill="1" applyBorder="1" applyAlignment="1">
      <alignment horizontal="left"/>
    </xf>
    <xf numFmtId="0" fontId="10" fillId="4" borderId="0" xfId="2" applyFont="1" applyFill="1" applyAlignment="1">
      <alignment horizontal="center"/>
    </xf>
    <xf numFmtId="0" fontId="11" fillId="4" borderId="7" xfId="2" applyFont="1" applyFill="1" applyBorder="1" applyAlignment="1">
      <alignment horizontal="center"/>
    </xf>
    <xf numFmtId="2" fontId="11" fillId="4" borderId="10" xfId="2" applyNumberFormat="1" applyFont="1" applyFill="1" applyBorder="1" applyAlignment="1">
      <alignment horizontal="center"/>
    </xf>
    <xf numFmtId="0" fontId="11" fillId="0" borderId="10" xfId="2" quotePrefix="1" applyFont="1" applyBorder="1" applyAlignment="1">
      <alignment horizontal="center"/>
    </xf>
    <xf numFmtId="0" fontId="10" fillId="4" borderId="12" xfId="2" applyFont="1" applyFill="1" applyBorder="1" applyAlignment="1">
      <alignment horizontal="left"/>
    </xf>
    <xf numFmtId="0" fontId="10" fillId="4" borderId="13" xfId="2" applyFont="1" applyFill="1" applyBorder="1" applyAlignment="1">
      <alignment horizontal="center"/>
    </xf>
    <xf numFmtId="0" fontId="11" fillId="4" borderId="12" xfId="2" applyFont="1" applyFill="1" applyBorder="1" applyAlignment="1">
      <alignment horizontal="center"/>
    </xf>
    <xf numFmtId="2" fontId="11" fillId="4" borderId="14" xfId="2" applyNumberFormat="1" applyFont="1" applyFill="1" applyBorder="1" applyAlignment="1">
      <alignment horizontal="center"/>
    </xf>
    <xf numFmtId="1" fontId="11" fillId="0" borderId="0" xfId="2" applyNumberFormat="1" applyFont="1" applyAlignment="1">
      <alignment horizontal="center"/>
    </xf>
    <xf numFmtId="2" fontId="11" fillId="0" borderId="0" xfId="2" applyNumberFormat="1" applyFont="1" applyAlignment="1">
      <alignment horizontal="center"/>
    </xf>
    <xf numFmtId="2" fontId="11" fillId="0" borderId="0" xfId="2" applyNumberFormat="1" applyFont="1" applyAlignment="1">
      <alignment horizontal="right"/>
    </xf>
    <xf numFmtId="0" fontId="10" fillId="0" borderId="15" xfId="2" applyFont="1" applyBorder="1"/>
    <xf numFmtId="0" fontId="10" fillId="4" borderId="2" xfId="2" applyFont="1" applyFill="1" applyBorder="1" applyAlignment="1">
      <alignment horizontal="center"/>
    </xf>
    <xf numFmtId="0" fontId="10" fillId="0" borderId="0" xfId="2" applyFont="1" applyAlignment="1">
      <alignment horizontal="center"/>
    </xf>
    <xf numFmtId="0" fontId="10" fillId="4" borderId="10" xfId="2" applyFont="1" applyFill="1" applyBorder="1" applyAlignment="1">
      <alignment horizontal="center"/>
    </xf>
    <xf numFmtId="0" fontId="11" fillId="4" borderId="4" xfId="2" applyFont="1" applyFill="1" applyBorder="1" applyAlignment="1">
      <alignment horizontal="center"/>
    </xf>
    <xf numFmtId="0" fontId="11" fillId="4" borderId="6" xfId="2" applyFont="1" applyFill="1" applyBorder="1" applyAlignment="1">
      <alignment horizontal="center"/>
    </xf>
    <xf numFmtId="0" fontId="11" fillId="0" borderId="0" xfId="2" applyFont="1" applyAlignment="1">
      <alignment horizontal="center"/>
    </xf>
    <xf numFmtId="0" fontId="10" fillId="4" borderId="14" xfId="2" applyFont="1" applyFill="1" applyBorder="1" applyAlignment="1">
      <alignment horizontal="center"/>
    </xf>
    <xf numFmtId="0" fontId="11" fillId="4" borderId="14" xfId="2" applyFont="1" applyFill="1" applyBorder="1" applyAlignment="1">
      <alignment horizontal="center"/>
    </xf>
    <xf numFmtId="0" fontId="11" fillId="4" borderId="15" xfId="2" applyFont="1" applyFill="1" applyBorder="1" applyAlignment="1">
      <alignment horizontal="center"/>
    </xf>
    <xf numFmtId="0" fontId="4" fillId="0" borderId="0" xfId="2"/>
    <xf numFmtId="2" fontId="4" fillId="0" borderId="0" xfId="2" applyNumberFormat="1"/>
    <xf numFmtId="0" fontId="0" fillId="0" borderId="0" xfId="0"/>
    <xf numFmtId="0" fontId="1" fillId="7" borderId="16" xfId="0" applyFont="1" applyFill="1" applyBorder="1"/>
    <xf numFmtId="0" fontId="4" fillId="8" borderId="0" xfId="0" applyFont="1" applyFill="1"/>
    <xf numFmtId="0" fontId="0" fillId="8" borderId="0" xfId="0" applyFill="1"/>
    <xf numFmtId="0" fontId="4" fillId="3" borderId="0" xfId="0" applyFont="1" applyFill="1"/>
    <xf numFmtId="0" fontId="0" fillId="7" borderId="2" xfId="0" applyFill="1" applyBorder="1"/>
    <xf numFmtId="0" fontId="0" fillId="7" borderId="8" xfId="0" applyFill="1" applyBorder="1"/>
    <xf numFmtId="0" fontId="0" fillId="7" borderId="9" xfId="0" applyFill="1" applyBorder="1"/>
    <xf numFmtId="164" fontId="11" fillId="4" borderId="2" xfId="2" applyNumberFormat="1" applyFont="1" applyFill="1" applyBorder="1" applyAlignment="1">
      <alignment horizontal="center"/>
    </xf>
    <xf numFmtId="164" fontId="11" fillId="4" borderId="8" xfId="2" applyNumberFormat="1" applyFont="1" applyFill="1" applyBorder="1" applyAlignment="1">
      <alignment horizontal="center"/>
    </xf>
    <xf numFmtId="164" fontId="11" fillId="4" borderId="9" xfId="2" applyNumberFormat="1" applyFont="1" applyFill="1" applyBorder="1" applyAlignment="1">
      <alignment horizontal="center"/>
    </xf>
    <xf numFmtId="164" fontId="4" fillId="0" borderId="0" xfId="2" applyNumberFormat="1"/>
  </cellXfs>
  <cellStyles count="6">
    <cellStyle name="Migliaia_tab emissioni" xfId="1" xr:uid="{00000000-0005-0000-0000-000001000000}"/>
    <cellStyle name="Normal" xfId="0" builtinId="0"/>
    <cellStyle name="Normal 10" xfId="2" xr:uid="{00000000-0005-0000-0000-000002000000}"/>
    <cellStyle name="Normal 2" xfId="3" xr:uid="{00000000-0005-0000-0000-000003000000}"/>
    <cellStyle name="Normale_B2020" xfId="4" xr:uid="{00000000-0005-0000-0000-000004000000}"/>
    <cellStyle name="Standard_Sce_D_Extraction" xfId="5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203200</xdr:colOff>
      <xdr:row>8</xdr:row>
      <xdr:rowOff>139700</xdr:rowOff>
    </xdr:from>
    <xdr:to>
      <xdr:col>10</xdr:col>
      <xdr:colOff>88900</xdr:colOff>
      <xdr:row>26</xdr:row>
      <xdr:rowOff>38100</xdr:rowOff>
    </xdr:to>
    <xdr:pic>
      <xdr:nvPicPr>
        <xdr:cNvPr id="1544" name="Picture 2">
          <a:extLst>
            <a:ext uri="{FF2B5EF4-FFF2-40B4-BE49-F238E27FC236}">
              <a16:creationId xmlns:a16="http://schemas.microsoft.com/office/drawing/2014/main" id="{00000000-0008-0000-03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03200" y="1473200"/>
          <a:ext cx="6908800" cy="29718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lfgang/c/temphold/TMPL_R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EA Data"/>
      <sheetName val="E&amp;D Drivers"/>
      <sheetName val="AGR_Fuels"/>
      <sheetName val="AGR"/>
      <sheetName val="RES_Fuels"/>
      <sheetName val="RH1"/>
      <sheetName val="RH2"/>
      <sheetName val="RH3"/>
      <sheetName val="RH4"/>
      <sheetName val="RC1"/>
      <sheetName val="RC2"/>
      <sheetName val="RC3"/>
      <sheetName val="RC4"/>
      <sheetName val="RHW"/>
      <sheetName val="RRF"/>
      <sheetName val="RCW"/>
      <sheetName val="RCD"/>
      <sheetName val="RK1"/>
      <sheetName val="RK2"/>
      <sheetName val="RK3"/>
      <sheetName val="RK4"/>
      <sheetName val="RDW"/>
      <sheetName val="RME"/>
      <sheetName val="RL1"/>
      <sheetName val="RL2"/>
      <sheetName val="RL3"/>
      <sheetName val="RL4"/>
      <sheetName val="COM_Fuels"/>
      <sheetName val="CH1"/>
      <sheetName val="CH2"/>
      <sheetName val="CH3"/>
      <sheetName val="CH4"/>
      <sheetName val="CC1"/>
      <sheetName val="CC2"/>
      <sheetName val="CC3"/>
      <sheetName val="CC4"/>
      <sheetName val="CHW"/>
      <sheetName val="CAA"/>
      <sheetName val="CLA"/>
      <sheetName val="ElastPar"/>
      <sheetName val="Conversion Factors"/>
      <sheetName val="Intro"/>
      <sheetName val="TechRep"/>
      <sheetName val="Other_HYDRO"/>
      <sheetName val="Other_NUCL"/>
      <sheetName val="Other_THERM"/>
      <sheetName val="Other_CHP"/>
      <sheetName val="Other_RENEW"/>
      <sheetName val="Other_HEAT"/>
      <sheetName val="ELC_FUELS"/>
      <sheetName val="ELC"/>
      <sheetName val="HEAT"/>
      <sheetName val="CHP"/>
      <sheetName val="ELC_EMI"/>
      <sheetName val="Constant Table"/>
      <sheetName val="ANS_ITEMS_DEL"/>
      <sheetName val="ANS_ITEMS"/>
      <sheetName val="ANS_TIDDATA"/>
      <sheetName val="ANS_TSDATA"/>
    </sheetNames>
    <sheetDataSet>
      <sheetData sheetId="0" refreshError="1"/>
      <sheetData sheetId="1" refreshError="1"/>
      <sheetData sheetId="2" refreshError="1">
        <row r="2">
          <cell r="A2" t="str">
            <v>^FI_ST: TCH, PRC</v>
          </cell>
        </row>
      </sheetData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J6"/>
  <sheetViews>
    <sheetView zoomScaleNormal="100" workbookViewId="0">
      <selection activeCell="C35" sqref="C35"/>
    </sheetView>
  </sheetViews>
  <sheetFormatPr baseColWidth="10" defaultColWidth="8.83203125" defaultRowHeight="13"/>
  <cols>
    <col min="1" max="1" width="2.1640625" style="58" customWidth="1"/>
    <col min="2" max="2" width="19.1640625" style="58" bestFit="1" customWidth="1"/>
    <col min="3" max="3" width="14.5" style="58" customWidth="1"/>
    <col min="4" max="6" width="8.83203125" style="58" customWidth="1"/>
    <col min="7" max="7" width="3.5" style="58" customWidth="1"/>
    <col min="8" max="8" width="29.5" style="58" customWidth="1"/>
  </cols>
  <sheetData>
    <row r="3" spans="2:10">
      <c r="B3" s="1" t="s">
        <v>0</v>
      </c>
      <c r="H3" s="1" t="s">
        <v>1</v>
      </c>
      <c r="I3" s="3"/>
      <c r="J3" s="3"/>
    </row>
    <row r="4" spans="2:10">
      <c r="B4" s="2" t="s">
        <v>2</v>
      </c>
      <c r="C4" s="2" t="s">
        <v>3</v>
      </c>
      <c r="H4" s="2" t="s">
        <v>4</v>
      </c>
      <c r="I4" s="2" t="s">
        <v>5</v>
      </c>
      <c r="J4" s="2" t="s">
        <v>6</v>
      </c>
    </row>
    <row r="5" spans="2:10">
      <c r="B5" s="14" t="s">
        <v>7</v>
      </c>
      <c r="C5" s="4" t="s">
        <v>7</v>
      </c>
      <c r="H5" t="s">
        <v>8</v>
      </c>
      <c r="J5" t="s">
        <v>9</v>
      </c>
    </row>
    <row r="6" spans="2:10">
      <c r="B6" s="14" t="s">
        <v>10</v>
      </c>
      <c r="C6" s="62" t="s">
        <v>10</v>
      </c>
      <c r="H6" t="s">
        <v>11</v>
      </c>
      <c r="J6" t="s">
        <v>12</v>
      </c>
    </row>
  </sheetData>
  <pageMargins left="0.75" right="0.75" top="1" bottom="1" header="0.5" footer="0.5"/>
  <pageSetup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H23"/>
  <sheetViews>
    <sheetView tabSelected="1" zoomScaleNormal="100" workbookViewId="0">
      <selection activeCell="B4" sqref="B4"/>
    </sheetView>
  </sheetViews>
  <sheetFormatPr baseColWidth="10" defaultColWidth="8.83203125" defaultRowHeight="13"/>
  <cols>
    <col min="1" max="1" width="8.83203125" style="58" customWidth="1"/>
    <col min="2" max="2" width="13.6640625" style="58" bestFit="1" customWidth="1"/>
    <col min="3" max="3" width="6.6640625" style="58" bestFit="1" customWidth="1"/>
    <col min="4" max="4" width="7.6640625" style="58" bestFit="1" customWidth="1"/>
    <col min="5" max="5" width="17.83203125" style="58" customWidth="1"/>
    <col min="6" max="6" width="8.6640625" style="58" bestFit="1" customWidth="1"/>
    <col min="7" max="7" width="8.83203125" style="58" customWidth="1"/>
    <col min="8" max="8" width="11.83203125" style="58" bestFit="1" customWidth="1"/>
  </cols>
  <sheetData>
    <row r="3" spans="2:4">
      <c r="B3" t="s">
        <v>13</v>
      </c>
    </row>
    <row r="4" spans="2:4">
      <c r="B4">
        <v>2030</v>
      </c>
    </row>
    <row r="7" spans="2:4">
      <c r="B7" t="s">
        <v>14</v>
      </c>
    </row>
    <row r="8" spans="2:4">
      <c r="B8" t="s">
        <v>15</v>
      </c>
    </row>
    <row r="11" spans="2:4">
      <c r="B11" t="s">
        <v>16</v>
      </c>
    </row>
    <row r="12" spans="2:4">
      <c r="B12" s="63" t="s">
        <v>17</v>
      </c>
      <c r="C12" s="64" t="s">
        <v>18</v>
      </c>
      <c r="D12" s="65" t="s">
        <v>15</v>
      </c>
    </row>
    <row r="13" spans="2:4">
      <c r="B13" s="61">
        <v>1</v>
      </c>
      <c r="C13" s="61">
        <v>1</v>
      </c>
      <c r="D13" s="61">
        <v>1</v>
      </c>
    </row>
    <row r="14" spans="2:4">
      <c r="B14" s="61">
        <v>2</v>
      </c>
      <c r="C14" s="61">
        <v>2</v>
      </c>
      <c r="D14" s="61">
        <v>2</v>
      </c>
    </row>
    <row r="15" spans="2:4">
      <c r="B15" s="61"/>
      <c r="C15" s="61">
        <v>5</v>
      </c>
      <c r="D15" s="61">
        <v>5</v>
      </c>
    </row>
    <row r="16" spans="2:4">
      <c r="B16" s="61"/>
      <c r="C16" s="61">
        <v>5</v>
      </c>
      <c r="D16" s="61">
        <v>5</v>
      </c>
    </row>
    <row r="17" spans="2:4">
      <c r="B17" s="61"/>
      <c r="C17" s="61">
        <v>5</v>
      </c>
      <c r="D17" s="61">
        <v>5</v>
      </c>
    </row>
    <row r="18" spans="2:4">
      <c r="B18" s="61"/>
      <c r="C18" s="61"/>
      <c r="D18" s="61">
        <v>5</v>
      </c>
    </row>
    <row r="19" spans="2:4">
      <c r="B19" s="61"/>
      <c r="C19" s="61"/>
      <c r="D19" s="61">
        <v>5</v>
      </c>
    </row>
    <row r="20" spans="2:4">
      <c r="B20" s="61"/>
      <c r="C20" s="61"/>
      <c r="D20" s="61">
        <v>5</v>
      </c>
    </row>
    <row r="21" spans="2:4">
      <c r="B21" s="61"/>
      <c r="C21" s="61"/>
      <c r="D21" s="61">
        <v>5</v>
      </c>
    </row>
    <row r="22" spans="2:4">
      <c r="B22" s="61"/>
      <c r="C22" s="61"/>
      <c r="D22" s="61">
        <v>5</v>
      </c>
    </row>
    <row r="23" spans="2:4">
      <c r="B23" s="61"/>
      <c r="C23" s="61"/>
      <c r="D23" s="61">
        <v>5</v>
      </c>
    </row>
  </sheetData>
  <pageMargins left="0.75" right="0.75" top="1" bottom="1" header="0.5" footer="0.5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C9"/>
  <sheetViews>
    <sheetView zoomScaleNormal="100" workbookViewId="0">
      <selection activeCell="E27" sqref="E27"/>
    </sheetView>
  </sheetViews>
  <sheetFormatPr baseColWidth="10" defaultColWidth="8.83203125" defaultRowHeight="13"/>
  <cols>
    <col min="1" max="1" width="2.5" style="58" customWidth="1"/>
    <col min="2" max="2" width="52.6640625" style="58" bestFit="1" customWidth="1"/>
  </cols>
  <sheetData>
    <row r="3" spans="2:3">
      <c r="B3" s="12" t="s">
        <v>19</v>
      </c>
    </row>
    <row r="4" spans="2:3">
      <c r="B4" s="13" t="s">
        <v>20</v>
      </c>
      <c r="C4" s="59" t="s">
        <v>21</v>
      </c>
    </row>
    <row r="5" spans="2:3">
      <c r="B5" s="60" t="s">
        <v>22</v>
      </c>
      <c r="C5" s="60">
        <v>1</v>
      </c>
    </row>
    <row r="6" spans="2:3">
      <c r="B6" s="61" t="s">
        <v>23</v>
      </c>
      <c r="C6" s="61">
        <v>1</v>
      </c>
    </row>
    <row r="7" spans="2:3">
      <c r="B7" s="61" t="s">
        <v>24</v>
      </c>
      <c r="C7" s="61">
        <v>1</v>
      </c>
    </row>
    <row r="8" spans="2:3">
      <c r="B8" s="61" t="s">
        <v>25</v>
      </c>
      <c r="C8" s="61">
        <v>0</v>
      </c>
    </row>
    <row r="9" spans="2:3">
      <c r="B9" s="61" t="s">
        <v>26</v>
      </c>
      <c r="C9" s="61">
        <v>0</v>
      </c>
    </row>
  </sheetData>
  <pageMargins left="0.75" right="0.75" top="1" bottom="1" header="0.5" footer="0.5"/>
  <pageSetup orientation="portrait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Q36"/>
  <sheetViews>
    <sheetView zoomScaleNormal="100" workbookViewId="0">
      <selection activeCell="N25" sqref="N25:N26"/>
    </sheetView>
  </sheetViews>
  <sheetFormatPr baseColWidth="10" defaultColWidth="8.83203125" defaultRowHeight="13"/>
  <cols>
    <col min="1" max="1" width="2.83203125" style="58" customWidth="1"/>
    <col min="2" max="3" width="8.83203125" style="58" customWidth="1"/>
    <col min="4" max="4" width="9.6640625" style="58" bestFit="1" customWidth="1"/>
    <col min="5" max="5" width="11.6640625" style="58" bestFit="1" customWidth="1"/>
    <col min="6" max="6" width="9.5" style="58" customWidth="1"/>
    <col min="7" max="7" width="10.6640625" style="58" bestFit="1" customWidth="1"/>
    <col min="8" max="9" width="10.6640625" style="58" customWidth="1"/>
    <col min="10" max="12" width="8.83203125" style="58" customWidth="1"/>
    <col min="13" max="13" width="9.33203125" style="58" customWidth="1"/>
  </cols>
  <sheetData>
    <row r="3" spans="2:7">
      <c r="B3" s="1" t="s">
        <v>27</v>
      </c>
    </row>
    <row r="4" spans="2:7" ht="14" customHeight="1" thickBot="1">
      <c r="B4" s="5" t="s">
        <v>28</v>
      </c>
      <c r="C4" s="5" t="s">
        <v>29</v>
      </c>
      <c r="D4" s="5" t="s">
        <v>30</v>
      </c>
      <c r="E4" s="5" t="s">
        <v>31</v>
      </c>
      <c r="F4" s="5" t="s">
        <v>32</v>
      </c>
      <c r="G4" s="5" t="s">
        <v>33</v>
      </c>
    </row>
    <row r="5" spans="2:7">
      <c r="C5" t="s">
        <v>34</v>
      </c>
      <c r="D5" t="s">
        <v>35</v>
      </c>
      <c r="E5">
        <v>0</v>
      </c>
      <c r="F5">
        <v>5</v>
      </c>
    </row>
    <row r="6" spans="2:7">
      <c r="C6" t="s">
        <v>34</v>
      </c>
      <c r="D6" s="14" t="s">
        <v>36</v>
      </c>
      <c r="E6" s="14">
        <v>0</v>
      </c>
      <c r="F6">
        <v>5</v>
      </c>
    </row>
    <row r="7" spans="2:7">
      <c r="C7" t="s">
        <v>34</v>
      </c>
      <c r="D7" s="14" t="s">
        <v>37</v>
      </c>
      <c r="E7" s="14">
        <v>0</v>
      </c>
      <c r="F7">
        <v>5</v>
      </c>
    </row>
    <row r="18" spans="2:4" ht="19.5" customHeight="1"/>
    <row r="19" spans="2:4" ht="15.75" customHeight="1"/>
    <row r="30" spans="2:4" ht="16" customHeight="1">
      <c r="B30" s="6" t="s">
        <v>38</v>
      </c>
    </row>
    <row r="32" spans="2:4" ht="18" customHeight="1">
      <c r="B32" s="8" t="s">
        <v>39</v>
      </c>
      <c r="C32" s="8"/>
      <c r="D32" s="8"/>
    </row>
    <row r="33" spans="2:17">
      <c r="B33" s="1" t="s">
        <v>27</v>
      </c>
    </row>
    <row r="34" spans="2:17" ht="14" customHeight="1" thickBot="1">
      <c r="B34" s="5" t="s">
        <v>28</v>
      </c>
      <c r="C34" s="5" t="s">
        <v>29</v>
      </c>
      <c r="D34" s="5" t="s">
        <v>30</v>
      </c>
      <c r="E34" s="5" t="s">
        <v>31</v>
      </c>
      <c r="F34" s="5" t="s">
        <v>40</v>
      </c>
      <c r="G34" s="5" t="s">
        <v>32</v>
      </c>
      <c r="H34" s="5" t="s">
        <v>7</v>
      </c>
      <c r="I34" s="5" t="s">
        <v>10</v>
      </c>
      <c r="J34" s="5" t="s">
        <v>41</v>
      </c>
      <c r="K34" s="5" t="s">
        <v>33</v>
      </c>
      <c r="L34" s="5" t="s">
        <v>42</v>
      </c>
      <c r="M34" s="5" t="s">
        <v>43</v>
      </c>
      <c r="N34" s="5" t="s">
        <v>44</v>
      </c>
      <c r="O34" s="5" t="s">
        <v>45</v>
      </c>
      <c r="P34" s="5" t="s">
        <v>46</v>
      </c>
      <c r="Q34" s="5" t="s">
        <v>47</v>
      </c>
    </row>
    <row r="35" spans="2:17">
      <c r="D35" t="s">
        <v>48</v>
      </c>
      <c r="G35">
        <v>2222</v>
      </c>
      <c r="J35" t="s">
        <v>49</v>
      </c>
      <c r="K35" t="s">
        <v>50</v>
      </c>
    </row>
    <row r="36" spans="2:17">
      <c r="D36" t="s">
        <v>48</v>
      </c>
      <c r="G36">
        <v>8888</v>
      </c>
      <c r="J36" t="s">
        <v>49</v>
      </c>
      <c r="K36" t="s">
        <v>51</v>
      </c>
    </row>
  </sheetData>
  <pageMargins left="0.75" right="0.75" top="1" bottom="1" header="0.5" footer="0.5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3:H33"/>
  <sheetViews>
    <sheetView zoomScaleNormal="100" workbookViewId="0">
      <selection activeCell="B5" sqref="B5:H6"/>
    </sheetView>
  </sheetViews>
  <sheetFormatPr baseColWidth="10" defaultColWidth="9.1640625" defaultRowHeight="13"/>
  <cols>
    <col min="1" max="1" width="9.1640625" style="56" customWidth="1"/>
    <col min="2" max="2" width="12.1640625" style="56" customWidth="1"/>
    <col min="3" max="3" width="10.83203125" style="56" customWidth="1"/>
    <col min="4" max="4" width="14" style="56" customWidth="1"/>
    <col min="5" max="5" width="10.5" style="56" bestFit="1" customWidth="1"/>
    <col min="6" max="6" width="10.5" style="56" customWidth="1"/>
    <col min="7" max="7" width="9.1640625" style="56" customWidth="1"/>
    <col min="8" max="16384" width="9.1640625" style="56"/>
  </cols>
  <sheetData>
    <row r="3" spans="2:8" ht="16" customHeight="1">
      <c r="B3" s="6" t="s">
        <v>52</v>
      </c>
    </row>
    <row r="5" spans="2:8">
      <c r="B5" s="10" t="s">
        <v>53</v>
      </c>
    </row>
    <row r="6" spans="2:8" ht="14" customHeight="1" thickBot="1">
      <c r="B6" s="5" t="s">
        <v>28</v>
      </c>
      <c r="C6" s="5" t="s">
        <v>29</v>
      </c>
      <c r="D6" s="5" t="s">
        <v>30</v>
      </c>
      <c r="E6" s="5" t="s">
        <v>32</v>
      </c>
      <c r="F6" s="5" t="s">
        <v>7</v>
      </c>
      <c r="G6" s="5" t="s">
        <v>10</v>
      </c>
      <c r="H6" s="5" t="s">
        <v>46</v>
      </c>
    </row>
    <row r="7" spans="2:8">
      <c r="D7" s="56" t="s">
        <v>54</v>
      </c>
      <c r="E7" s="56">
        <v>2005</v>
      </c>
    </row>
    <row r="8" spans="2:8">
      <c r="D8" s="56" t="s">
        <v>55</v>
      </c>
      <c r="E8" s="56">
        <v>0.05</v>
      </c>
    </row>
    <row r="9" spans="2:8">
      <c r="B9" s="56" t="s">
        <v>56</v>
      </c>
      <c r="D9" s="56" t="s">
        <v>57</v>
      </c>
      <c r="E9" s="57">
        <f>C23</f>
        <v>0.24971461187214614</v>
      </c>
    </row>
    <row r="10" spans="2:8">
      <c r="B10" s="56" t="s">
        <v>58</v>
      </c>
      <c r="D10" s="56" t="s">
        <v>57</v>
      </c>
      <c r="E10" s="57">
        <f>D23</f>
        <v>0.22973744292237441</v>
      </c>
    </row>
    <row r="11" spans="2:8">
      <c r="B11" s="56" t="s">
        <v>59</v>
      </c>
      <c r="D11" s="56" t="s">
        <v>57</v>
      </c>
      <c r="E11" s="57">
        <f>E23</f>
        <v>0.24942922374429224</v>
      </c>
    </row>
    <row r="12" spans="2:8">
      <c r="B12" s="56" t="s">
        <v>60</v>
      </c>
      <c r="D12" s="56" t="s">
        <v>57</v>
      </c>
      <c r="E12" s="57">
        <f>F23</f>
        <v>0.27111872146118721</v>
      </c>
    </row>
    <row r="13" spans="2:8">
      <c r="D13" s="56" t="s">
        <v>61</v>
      </c>
      <c r="F13" s="57">
        <v>0.9</v>
      </c>
      <c r="G13" s="57">
        <v>0.95</v>
      </c>
      <c r="H13" s="56" t="s">
        <v>62</v>
      </c>
    </row>
    <row r="14" spans="2:8">
      <c r="F14" s="57"/>
      <c r="G14" s="57"/>
    </row>
    <row r="15" spans="2:8">
      <c r="F15" s="57"/>
      <c r="G15" s="57"/>
    </row>
    <row r="19" spans="2:7" ht="18" customHeight="1">
      <c r="B19" s="16" t="s">
        <v>63</v>
      </c>
      <c r="C19" s="17"/>
      <c r="D19" s="18"/>
      <c r="E19" s="18"/>
      <c r="F19" s="18"/>
      <c r="G19" s="18"/>
    </row>
    <row r="20" spans="2:7">
      <c r="C20" s="19"/>
      <c r="D20" s="19"/>
    </row>
    <row r="21" spans="2:7">
      <c r="B21" s="20" t="s">
        <v>30</v>
      </c>
      <c r="C21" s="21" t="s">
        <v>56</v>
      </c>
      <c r="D21" s="22" t="s">
        <v>58</v>
      </c>
      <c r="E21" s="22" t="s">
        <v>59</v>
      </c>
      <c r="F21" s="23" t="s">
        <v>60</v>
      </c>
    </row>
    <row r="22" spans="2:7">
      <c r="B22" s="24"/>
      <c r="C22" s="25" t="s">
        <v>64</v>
      </c>
      <c r="D22" s="26" t="s">
        <v>65</v>
      </c>
      <c r="E22" s="26" t="s">
        <v>66</v>
      </c>
      <c r="F22" s="27" t="s">
        <v>67</v>
      </c>
    </row>
    <row r="23" spans="2:7">
      <c r="B23" s="20" t="s">
        <v>57</v>
      </c>
      <c r="C23" s="66">
        <f>C32/$F32*$E27</f>
        <v>0.24971461187214614</v>
      </c>
      <c r="D23" s="67">
        <f>D32/$F32*$E27</f>
        <v>0.22973744292237441</v>
      </c>
      <c r="E23" s="67">
        <f>C33/$F33*$E28</f>
        <v>0.24942922374429224</v>
      </c>
      <c r="F23" s="68">
        <f>D33/$F33*$E28</f>
        <v>0.27111872146118721</v>
      </c>
      <c r="G23" s="69">
        <f>SUM(C23:F23)</f>
        <v>1</v>
      </c>
    </row>
    <row r="24" spans="2:7">
      <c r="B24" s="29"/>
      <c r="C24" s="29"/>
      <c r="D24" s="29"/>
      <c r="E24" s="29"/>
      <c r="F24" s="29"/>
    </row>
    <row r="25" spans="2:7">
      <c r="B25" s="29"/>
      <c r="C25" s="28"/>
      <c r="D25" s="28"/>
      <c r="E25" s="28"/>
      <c r="F25" s="29"/>
      <c r="G25" s="29"/>
    </row>
    <row r="26" spans="2:7">
      <c r="B26" s="29"/>
      <c r="C26" s="30" t="s">
        <v>68</v>
      </c>
      <c r="D26" s="31" t="s">
        <v>69</v>
      </c>
      <c r="E26" s="32" t="s">
        <v>70</v>
      </c>
      <c r="F26" s="33"/>
      <c r="G26" s="29"/>
    </row>
    <row r="27" spans="2:7">
      <c r="B27" s="34" t="s">
        <v>71</v>
      </c>
      <c r="C27" s="35" t="s">
        <v>8</v>
      </c>
      <c r="D27" s="36">
        <v>175</v>
      </c>
      <c r="E27" s="37">
        <f>D27/D29</f>
        <v>0.47945205479452052</v>
      </c>
      <c r="F27" s="38"/>
      <c r="G27" s="29"/>
    </row>
    <row r="28" spans="2:7">
      <c r="B28" s="39" t="s">
        <v>72</v>
      </c>
      <c r="C28" s="40" t="s">
        <v>73</v>
      </c>
      <c r="D28" s="41">
        <f>365-D27</f>
        <v>190</v>
      </c>
      <c r="E28" s="42">
        <f>D28/D29</f>
        <v>0.52054794520547942</v>
      </c>
      <c r="F28" s="38"/>
      <c r="G28" s="29"/>
    </row>
    <row r="29" spans="2:7">
      <c r="B29" s="29"/>
      <c r="C29" s="29"/>
      <c r="D29" s="43">
        <f>SUM(D27:D28)</f>
        <v>365</v>
      </c>
      <c r="E29" s="44">
        <f>SUM(E27:E28)</f>
        <v>1</v>
      </c>
      <c r="F29" s="52"/>
      <c r="G29" s="29"/>
    </row>
    <row r="30" spans="2:7">
      <c r="B30" s="29"/>
      <c r="C30" s="29"/>
      <c r="D30" s="45"/>
      <c r="E30" s="29"/>
      <c r="F30" s="29"/>
      <c r="G30" s="29"/>
    </row>
    <row r="31" spans="2:7">
      <c r="B31" s="46"/>
      <c r="C31" s="47" t="s">
        <v>74</v>
      </c>
      <c r="D31" s="32" t="s">
        <v>75</v>
      </c>
      <c r="E31" s="48"/>
      <c r="F31" s="29"/>
      <c r="G31" s="29"/>
    </row>
    <row r="32" spans="2:7">
      <c r="B32" s="49" t="s">
        <v>8</v>
      </c>
      <c r="C32" s="50">
        <v>12.5</v>
      </c>
      <c r="D32" s="51">
        <v>11.5</v>
      </c>
      <c r="E32" s="52"/>
      <c r="F32" s="52">
        <f>SUM(C32:E32)</f>
        <v>24</v>
      </c>
      <c r="G32" s="29"/>
    </row>
    <row r="33" spans="2:7">
      <c r="B33" s="53" t="s">
        <v>11</v>
      </c>
      <c r="C33" s="54">
        <v>11.5</v>
      </c>
      <c r="D33" s="55">
        <v>12.5</v>
      </c>
      <c r="E33" s="52"/>
      <c r="F33" s="52">
        <f>SUM(C33:E33)</f>
        <v>24</v>
      </c>
      <c r="G33" s="29"/>
    </row>
  </sheetData>
  <pageMargins left="0.7" right="0.7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I6"/>
  <sheetViews>
    <sheetView workbookViewId="0">
      <selection activeCell="B5" sqref="B5"/>
    </sheetView>
  </sheetViews>
  <sheetFormatPr baseColWidth="10" defaultColWidth="8.83203125" defaultRowHeight="13"/>
  <cols>
    <col min="1" max="1" width="8.83203125" style="58" customWidth="1"/>
    <col min="2" max="2" width="11.6640625" style="58" bestFit="1" customWidth="1"/>
    <col min="3" max="3" width="8.83203125" style="58" customWidth="1"/>
    <col min="4" max="4" width="15.5" style="58" bestFit="1" customWidth="1"/>
    <col min="5" max="5" width="4" style="58" bestFit="1" customWidth="1"/>
    <col min="6" max="6" width="4.5" style="58" bestFit="1" customWidth="1"/>
    <col min="7" max="7" width="4.33203125" style="58" bestFit="1" customWidth="1"/>
    <col min="8" max="8" width="5" style="58" bestFit="1" customWidth="1"/>
  </cols>
  <sheetData>
    <row r="2" spans="2:9">
      <c r="B2" s="1" t="s">
        <v>76</v>
      </c>
      <c r="D2" s="1" t="s">
        <v>77</v>
      </c>
    </row>
    <row r="3" spans="2:9" ht="14" customHeight="1" thickBot="1">
      <c r="B3" s="11" t="s">
        <v>78</v>
      </c>
      <c r="D3" s="11" t="s">
        <v>20</v>
      </c>
      <c r="E3" s="15" t="s">
        <v>79</v>
      </c>
      <c r="F3" s="15" t="s">
        <v>62</v>
      </c>
      <c r="G3" s="15" t="s">
        <v>80</v>
      </c>
      <c r="H3" s="15" t="s">
        <v>81</v>
      </c>
      <c r="I3" s="15" t="s">
        <v>82</v>
      </c>
    </row>
    <row r="4" spans="2:9">
      <c r="B4" s="14" t="s">
        <v>83</v>
      </c>
      <c r="D4" t="s">
        <v>84</v>
      </c>
      <c r="E4" s="14" t="s">
        <v>85</v>
      </c>
      <c r="F4" s="14" t="s">
        <v>85</v>
      </c>
      <c r="G4" s="14" t="s">
        <v>85</v>
      </c>
      <c r="H4" s="14" t="s">
        <v>85</v>
      </c>
      <c r="I4" s="14" t="s">
        <v>86</v>
      </c>
    </row>
    <row r="5" spans="2:9">
      <c r="D5" t="s">
        <v>87</v>
      </c>
      <c r="E5" s="14" t="s">
        <v>88</v>
      </c>
      <c r="F5" s="14" t="s">
        <v>89</v>
      </c>
      <c r="G5" s="14" t="s">
        <v>89</v>
      </c>
      <c r="H5" s="14" t="s">
        <v>88</v>
      </c>
      <c r="I5" s="14" t="s">
        <v>90</v>
      </c>
    </row>
    <row r="6" spans="2:9">
      <c r="D6" t="s">
        <v>91</v>
      </c>
      <c r="E6" t="s">
        <v>85</v>
      </c>
      <c r="F6" t="s">
        <v>85</v>
      </c>
      <c r="G6" t="s">
        <v>85</v>
      </c>
      <c r="H6" t="s">
        <v>85</v>
      </c>
      <c r="I6" s="14" t="s">
        <v>86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K7"/>
  <sheetViews>
    <sheetView zoomScaleNormal="100" workbookViewId="0">
      <selection activeCell="C21" sqref="C21"/>
    </sheetView>
  </sheetViews>
  <sheetFormatPr baseColWidth="10" defaultColWidth="8.83203125" defaultRowHeight="13"/>
  <cols>
    <col min="1" max="1" width="3.1640625" style="58" customWidth="1"/>
    <col min="2" max="2" width="15.6640625" style="58" customWidth="1"/>
    <col min="3" max="3" width="18.33203125" style="58" customWidth="1"/>
    <col min="4" max="4" width="8.6640625" style="58" bestFit="1" customWidth="1"/>
    <col min="5" max="6" width="8.5" style="58" bestFit="1" customWidth="1"/>
    <col min="7" max="8" width="11.33203125" style="58" customWidth="1"/>
    <col min="9" max="11" width="11.83203125" style="58" customWidth="1"/>
  </cols>
  <sheetData>
    <row r="2" spans="2:9" ht="16" customHeight="1">
      <c r="B2" s="6" t="s">
        <v>92</v>
      </c>
      <c r="C2" s="7"/>
      <c r="D2" s="7"/>
      <c r="E2" s="7"/>
      <c r="F2" s="7"/>
      <c r="G2" s="7"/>
      <c r="H2" s="7"/>
    </row>
    <row r="4" spans="2:9" ht="21" customHeight="1">
      <c r="B4" s="8" t="s">
        <v>93</v>
      </c>
      <c r="C4" s="8"/>
      <c r="D4" s="8"/>
      <c r="E4" s="8"/>
      <c r="F4" s="8"/>
    </row>
    <row r="5" spans="2:9" ht="18" customHeight="1">
      <c r="B5" s="1" t="s">
        <v>94</v>
      </c>
    </row>
    <row r="6" spans="2:9" ht="18.75" customHeight="1" thickBot="1">
      <c r="B6" s="5" t="s">
        <v>95</v>
      </c>
      <c r="C6" s="5" t="s">
        <v>96</v>
      </c>
      <c r="D6" s="5" t="s">
        <v>45</v>
      </c>
      <c r="E6" s="5" t="s">
        <v>46</v>
      </c>
      <c r="F6" s="5" t="s">
        <v>47</v>
      </c>
      <c r="G6" s="5" t="s">
        <v>32</v>
      </c>
      <c r="H6" s="5" t="s">
        <v>7</v>
      </c>
      <c r="I6" s="5" t="s">
        <v>10</v>
      </c>
    </row>
    <row r="7" spans="2:9" ht="29" customHeight="1" thickBot="1">
      <c r="B7" s="9" t="s">
        <v>97</v>
      </c>
      <c r="C7" s="9" t="s">
        <v>98</v>
      </c>
      <c r="D7" s="9"/>
      <c r="E7" s="9"/>
      <c r="F7" s="9"/>
      <c r="G7" s="9"/>
      <c r="H7" s="9"/>
      <c r="I7" s="9"/>
    </row>
  </sheetData>
  <pageMargins left="0.75" right="0.75" top="1" bottom="1" header="0.5" footer="0.5"/>
  <pageSetup paperSize="9" orientation="portrait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Region-Time Slices</vt:lpstr>
      <vt:lpstr>TimePeriods</vt:lpstr>
      <vt:lpstr>Import Settings</vt:lpstr>
      <vt:lpstr>Interpol_Extrapol_Defaults</vt:lpstr>
      <vt:lpstr>Constants</vt:lpstr>
      <vt:lpstr>Defaults</vt:lpstr>
      <vt:lpstr>Commodity Group</vt:lpstr>
      <vt:lpstr>StartYear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Microsoft Office User</cp:lastModifiedBy>
  <cp:lastPrinted>2001-09-28T20:39:50Z</cp:lastPrinted>
  <dcterms:created xsi:type="dcterms:W3CDTF">2001-09-28T18:48:17Z</dcterms:created>
  <dcterms:modified xsi:type="dcterms:W3CDTF">2020-07-06T21:25:03Z</dcterms:modified>
</cp:coreProperties>
</file>