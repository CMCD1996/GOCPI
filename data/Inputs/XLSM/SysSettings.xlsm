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2.xml" ContentType="application/vnd.openxmlformats-officedocument.spreadsheetml.comments+xml"/>
  <Override PartName="/xl/externalLinks/externalLink1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460" windowWidth="28800" windowHeight="16240" tabRatio="853" firstSheet="0" activeTab="1" autoFilterDateGrouping="1"/>
  </bookViews>
  <sheets>
    <sheet xmlns:r="http://schemas.openxmlformats.org/officeDocument/2006/relationships" name="Region-Time Slices" sheetId="1" state="visible" r:id="rId1"/>
    <sheet xmlns:r="http://schemas.openxmlformats.org/officeDocument/2006/relationships" name="TimePeriods" sheetId="2" state="visible" r:id="rId2"/>
    <sheet xmlns:r="http://schemas.openxmlformats.org/officeDocument/2006/relationships" name="Import Settings" sheetId="3" state="visible" r:id="rId3"/>
    <sheet xmlns:r="http://schemas.openxmlformats.org/officeDocument/2006/relationships" name="Interpol_Extrapol_Defaults" sheetId="4" state="visible" r:id="rId4"/>
    <sheet xmlns:r="http://schemas.openxmlformats.org/officeDocument/2006/relationships" name="Constants" sheetId="5" state="visible" r:id="rId5"/>
    <sheet xmlns:r="http://schemas.openxmlformats.org/officeDocument/2006/relationships" name="Defaults" sheetId="6" state="visible" r:id="rId6"/>
    <sheet xmlns:r="http://schemas.openxmlformats.org/officeDocument/2006/relationships" name="Commodity Group" sheetId="7" state="visible" r:id="rId7"/>
  </sheets>
  <externalReferences>
    <externalReference xmlns:r="http://schemas.openxmlformats.org/officeDocument/2006/relationships" r:id="rId8"/>
  </externalReferences>
  <definedNames>
    <definedName name="FID_1">[1]AGR_Fuels!$A$2</definedName>
    <definedName name="StartYear">TimePeriods!$B$4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_-* #,##0.00_-;\-* #,##0.00_-;_-* &quot;-&quot;??_-;_-@_-"/>
  </numFmts>
  <fonts count="16">
    <font>
      <name val="Arial"/>
      <sz val="10"/>
    </font>
    <font>
      <name val="Arial"/>
      <family val="2"/>
      <b val="1"/>
      <sz val="10"/>
    </font>
    <font>
      <name val="Arial"/>
      <family val="2"/>
      <b val="1"/>
      <color indexed="12"/>
      <sz val="10"/>
    </font>
    <font>
      <name val="Tahoma"/>
      <family val="2"/>
      <color indexed="81"/>
      <sz val="8"/>
    </font>
    <font>
      <name val="Arial"/>
      <family val="2"/>
      <sz val="8"/>
    </font>
    <font>
      <name val="Arial"/>
      <family val="2"/>
      <sz val="10"/>
    </font>
    <font>
      <name val="Arial"/>
      <family val="2"/>
      <color indexed="12"/>
      <sz val="12"/>
    </font>
    <font>
      <name val="Tahoma"/>
      <family val="2"/>
      <b val="1"/>
      <color indexed="81"/>
      <sz val="8"/>
    </font>
    <font>
      <name val="Courier"/>
      <family val="3"/>
      <sz val="10"/>
    </font>
    <font>
      <name val="Arial"/>
      <family val="2"/>
      <color indexed="53"/>
      <sz val="12"/>
    </font>
    <font>
      <name val="Arial"/>
      <family val="2"/>
      <color indexed="9"/>
      <sz val="14"/>
    </font>
    <font>
      <name val="Arial"/>
      <family val="2"/>
      <color indexed="9"/>
      <sz val="10"/>
    </font>
    <font>
      <name val="Arial"/>
      <family val="2"/>
      <b val="1"/>
      <sz val="9"/>
    </font>
    <font>
      <name val="Arial"/>
      <family val="2"/>
      <sz val="9"/>
    </font>
    <font>
      <name val="Arial"/>
      <sz val="10"/>
    </font>
    <font>
      <name val="Arial"/>
      <family val="2"/>
      <b val="1"/>
      <color rgb="FF0000FF"/>
      <sz val="10"/>
    </font>
  </fonts>
  <fills count="11">
    <fill>
      <patternFill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A72E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0"/>
      </right>
      <top style="thin">
        <color indexed="64"/>
      </top>
      <bottom style="thin">
        <color indexed="64"/>
      </bottom>
      <diagonal/>
    </border>
  </borders>
  <cellStyleXfs count="6">
    <xf numFmtId="0" fontId="14" fillId="0" borderId="0"/>
    <xf numFmtId="165" fontId="14" fillId="0" borderId="0"/>
    <xf numFmtId="0" fontId="5" fillId="0" borderId="0"/>
    <xf numFmtId="0" fontId="5" fillId="0" borderId="0"/>
    <xf numFmtId="0" fontId="8" fillId="0" borderId="0"/>
    <xf numFmtId="0" fontId="5" fillId="0" borderId="0"/>
  </cellStyleXfs>
  <cellXfs count="85">
    <xf numFmtId="0" fontId="0" fillId="0" borderId="0" pivotButton="0" quotePrefix="0" xfId="0"/>
    <xf numFmtId="0" fontId="2" fillId="0" borderId="0" pivotButton="0" quotePrefix="0" xfId="0"/>
    <xf numFmtId="0" fontId="1" fillId="2" borderId="0" pivotButton="0" quotePrefix="0" xfId="0"/>
    <xf numFmtId="0" fontId="1" fillId="0" borderId="0" pivotButton="0" quotePrefix="0" xfId="0"/>
    <xf numFmtId="0" fontId="0" fillId="3" borderId="0" pivotButton="0" quotePrefix="0" xfId="0"/>
    <xf numFmtId="0" fontId="5" fillId="4" borderId="1" pivotButton="0" quotePrefix="0" xfId="0"/>
    <xf numFmtId="0" fontId="0" fillId="0" borderId="0" pivotButton="0" quotePrefix="0" xfId="0"/>
    <xf numFmtId="0" fontId="9" fillId="0" borderId="0" pivotButton="0" quotePrefix="0" xfId="0"/>
    <xf numFmtId="0" fontId="6" fillId="0" borderId="0" pivotButton="0" quotePrefix="0" xfId="0"/>
    <xf numFmtId="0" fontId="10" fillId="5" borderId="0" applyAlignment="1" pivotButton="0" quotePrefix="0" xfId="0">
      <alignment horizontal="left"/>
    </xf>
    <xf numFmtId="0" fontId="1" fillId="6" borderId="1" applyAlignment="1" pivotButton="0" quotePrefix="0" xfId="2">
      <alignment horizontal="center" wrapText="1"/>
    </xf>
    <xf numFmtId="0" fontId="2" fillId="0" borderId="0" pivotButton="0" quotePrefix="0" xfId="2"/>
    <xf numFmtId="0" fontId="5" fillId="0" borderId="0" pivotButton="0" quotePrefix="0" xfId="2"/>
    <xf numFmtId="0" fontId="0" fillId="2" borderId="1" pivotButton="0" quotePrefix="0" xfId="0"/>
    <xf numFmtId="0" fontId="15" fillId="0" borderId="0" pivotButton="0" quotePrefix="0" xfId="0"/>
    <xf numFmtId="0" fontId="1" fillId="7" borderId="2" pivotButton="0" quotePrefix="0" xfId="0"/>
    <xf numFmtId="0" fontId="0" fillId="8" borderId="0" pivotButton="0" quotePrefix="0" xfId="0"/>
    <xf numFmtId="0" fontId="5" fillId="0" borderId="0" pivotButton="0" quotePrefix="0" xfId="0"/>
    <xf numFmtId="0" fontId="5" fillId="0" borderId="0" pivotButton="0" quotePrefix="0" xfId="2"/>
    <xf numFmtId="2" fontId="5" fillId="0" borderId="0" pivotButton="0" quotePrefix="0" xfId="2"/>
    <xf numFmtId="0" fontId="5" fillId="0" borderId="0" pivotButton="0" quotePrefix="0" xfId="0"/>
    <xf numFmtId="0" fontId="5" fillId="9" borderId="1" pivotButton="0" quotePrefix="0" xfId="0"/>
    <xf numFmtId="0" fontId="10" fillId="5" borderId="0" pivotButton="0" quotePrefix="0" xfId="3"/>
    <xf numFmtId="0" fontId="11" fillId="5" borderId="0" pivotButton="0" quotePrefix="0" xfId="3"/>
    <xf numFmtId="0" fontId="5" fillId="0" borderId="0" pivotButton="0" quotePrefix="0" xfId="3"/>
    <xf numFmtId="0" fontId="5" fillId="0" borderId="0" pivotButton="0" quotePrefix="0" xfId="2"/>
    <xf numFmtId="0" fontId="4" fillId="0" borderId="0" applyAlignment="1" pivotButton="0" quotePrefix="0" xfId="2">
      <alignment horizontal="right"/>
    </xf>
    <xf numFmtId="0" fontId="5" fillId="0" borderId="0" pivotButton="0" quotePrefix="0" xfId="2"/>
    <xf numFmtId="0" fontId="12" fillId="4" borderId="3" applyAlignment="1" pivotButton="0" quotePrefix="0" xfId="2">
      <alignment horizontal="left" vertical="center" wrapText="1"/>
    </xf>
    <xf numFmtId="0" fontId="12" fillId="4" borderId="4" applyAlignment="1" pivotButton="0" quotePrefix="0" xfId="2">
      <alignment horizontal="center"/>
    </xf>
    <xf numFmtId="0" fontId="12" fillId="4" borderId="5" applyAlignment="1" pivotButton="0" quotePrefix="0" xfId="2">
      <alignment horizontal="center"/>
    </xf>
    <xf numFmtId="0" fontId="12" fillId="4" borderId="6" applyAlignment="1" pivotButton="0" quotePrefix="0" xfId="2">
      <alignment horizontal="center"/>
    </xf>
    <xf numFmtId="0" fontId="12" fillId="10" borderId="7" applyAlignment="1" pivotButton="0" quotePrefix="0" xfId="2">
      <alignment horizontal="left" vertical="center" wrapText="1"/>
    </xf>
    <xf numFmtId="0" fontId="12" fillId="4" borderId="4" applyAlignment="1" pivotButton="0" quotePrefix="0" xfId="2">
      <alignment horizontal="center" wrapText="1"/>
    </xf>
    <xf numFmtId="0" fontId="12" fillId="4" borderId="5" applyAlignment="1" pivotButton="0" quotePrefix="0" xfId="2">
      <alignment horizontal="center" wrapText="1"/>
    </xf>
    <xf numFmtId="0" fontId="12" fillId="4" borderId="6" applyAlignment="1" pivotButton="0" quotePrefix="0" xfId="2">
      <alignment horizontal="center" wrapText="1"/>
    </xf>
    <xf numFmtId="164" fontId="13" fillId="4" borderId="2" applyAlignment="1" pivotButton="0" quotePrefix="0" xfId="2">
      <alignment horizontal="center"/>
    </xf>
    <xf numFmtId="164" fontId="13" fillId="4" borderId="8" applyAlignment="1" pivotButton="0" quotePrefix="0" xfId="2">
      <alignment horizontal="center"/>
    </xf>
    <xf numFmtId="164" fontId="13" fillId="4" borderId="9" applyAlignment="1" pivotButton="0" quotePrefix="0" xfId="2">
      <alignment horizontal="center"/>
    </xf>
    <xf numFmtId="164" fontId="5" fillId="0" borderId="0" pivotButton="0" quotePrefix="0" xfId="2"/>
    <xf numFmtId="0" fontId="13" fillId="0" borderId="0" pivotButton="0" quotePrefix="0" xfId="2"/>
    <xf numFmtId="0" fontId="13" fillId="0" borderId="0" pivotButton="0" quotePrefix="0" xfId="2"/>
    <xf numFmtId="0" fontId="12" fillId="0" borderId="0" pivotButton="0" quotePrefix="0" xfId="2"/>
    <xf numFmtId="0" fontId="13" fillId="0" borderId="0" pivotButton="0" quotePrefix="0" xfId="2"/>
    <xf numFmtId="0" fontId="12" fillId="4" borderId="3" applyAlignment="1" pivotButton="0" quotePrefix="0" xfId="2">
      <alignment horizontal="left"/>
    </xf>
    <xf numFmtId="0" fontId="12" fillId="4" borderId="9" applyAlignment="1" pivotButton="0" quotePrefix="1" xfId="2">
      <alignment horizontal="center"/>
    </xf>
    <xf numFmtId="0" fontId="12" fillId="4" borderId="9" applyAlignment="1" pivotButton="0" quotePrefix="0" xfId="2">
      <alignment horizontal="center"/>
    </xf>
    <xf numFmtId="0" fontId="12" fillId="0" borderId="10" applyAlignment="1" pivotButton="0" quotePrefix="1" xfId="2">
      <alignment horizontal="center"/>
    </xf>
    <xf numFmtId="0" fontId="12" fillId="4" borderId="11" applyAlignment="1" pivotButton="0" quotePrefix="0" xfId="2">
      <alignment horizontal="left"/>
    </xf>
    <xf numFmtId="0" fontId="12" fillId="4" borderId="0" applyAlignment="1" pivotButton="0" quotePrefix="0" xfId="2">
      <alignment horizontal="center"/>
    </xf>
    <xf numFmtId="0" fontId="13" fillId="4" borderId="7" applyAlignment="1" pivotButton="0" quotePrefix="0" xfId="2">
      <alignment horizontal="center"/>
    </xf>
    <xf numFmtId="2" fontId="13" fillId="4" borderId="10" applyAlignment="1" pivotButton="0" quotePrefix="0" xfId="2">
      <alignment horizontal="center"/>
    </xf>
    <xf numFmtId="0" fontId="13" fillId="0" borderId="10" applyAlignment="1" pivotButton="0" quotePrefix="1" xfId="2">
      <alignment horizontal="center"/>
    </xf>
    <xf numFmtId="0" fontId="12" fillId="4" borderId="12" applyAlignment="1" pivotButton="0" quotePrefix="0" xfId="2">
      <alignment horizontal="left"/>
    </xf>
    <xf numFmtId="0" fontId="12" fillId="4" borderId="13" applyAlignment="1" pivotButton="0" quotePrefix="0" xfId="2">
      <alignment horizontal="center"/>
    </xf>
    <xf numFmtId="0" fontId="13" fillId="4" borderId="12" applyAlignment="1" pivotButton="0" quotePrefix="0" xfId="2">
      <alignment horizontal="center"/>
    </xf>
    <xf numFmtId="2" fontId="13" fillId="4" borderId="14" applyAlignment="1" pivotButton="0" quotePrefix="0" xfId="2">
      <alignment horizontal="center"/>
    </xf>
    <xf numFmtId="1" fontId="13" fillId="0" borderId="0" applyAlignment="1" pivotButton="0" quotePrefix="0" xfId="2">
      <alignment horizontal="center"/>
    </xf>
    <xf numFmtId="2" fontId="13" fillId="0" borderId="0" applyAlignment="1" pivotButton="0" quotePrefix="0" xfId="2">
      <alignment horizontal="center"/>
    </xf>
    <xf numFmtId="0" fontId="13" fillId="0" borderId="0" applyAlignment="1" pivotButton="0" quotePrefix="0" xfId="2">
      <alignment horizontal="center"/>
    </xf>
    <xf numFmtId="2" fontId="13" fillId="0" borderId="0" applyAlignment="1" pivotButton="0" quotePrefix="0" xfId="2">
      <alignment horizontal="right"/>
    </xf>
    <xf numFmtId="0" fontId="12" fillId="0" borderId="15" pivotButton="0" quotePrefix="0" xfId="2"/>
    <xf numFmtId="0" fontId="12" fillId="4" borderId="2" applyAlignment="1" pivotButton="0" quotePrefix="0" xfId="2">
      <alignment horizontal="center"/>
    </xf>
    <xf numFmtId="0" fontId="12" fillId="0" borderId="0" applyAlignment="1" pivotButton="0" quotePrefix="0" xfId="2">
      <alignment horizontal="center"/>
    </xf>
    <xf numFmtId="0" fontId="12" fillId="4" borderId="10" applyAlignment="1" pivotButton="0" quotePrefix="0" xfId="2">
      <alignment horizontal="center"/>
    </xf>
    <xf numFmtId="0" fontId="13" fillId="4" borderId="4" applyAlignment="1" pivotButton="0" quotePrefix="0" xfId="2">
      <alignment horizontal="center"/>
    </xf>
    <xf numFmtId="0" fontId="13" fillId="4" borderId="6" applyAlignment="1" pivotButton="0" quotePrefix="0" xfId="2">
      <alignment horizontal="center"/>
    </xf>
    <xf numFmtId="0" fontId="13" fillId="0" borderId="0" applyAlignment="1" pivotButton="0" quotePrefix="0" xfId="2">
      <alignment horizontal="center"/>
    </xf>
    <xf numFmtId="0" fontId="12" fillId="4" borderId="14" applyAlignment="1" pivotButton="0" quotePrefix="0" xfId="2">
      <alignment horizontal="center"/>
    </xf>
    <xf numFmtId="0" fontId="13" fillId="4" borderId="14" applyAlignment="1" pivotButton="0" quotePrefix="0" xfId="2">
      <alignment horizontal="center"/>
    </xf>
    <xf numFmtId="0" fontId="13" fillId="4" borderId="15" applyAlignment="1" pivotButton="0" quotePrefix="0" xfId="2">
      <alignment horizontal="center"/>
    </xf>
    <xf numFmtId="0" fontId="5" fillId="0" borderId="0" pivotButton="0" quotePrefix="0" xfId="2"/>
    <xf numFmtId="2" fontId="5" fillId="0" borderId="0" pivotButton="0" quotePrefix="0" xfId="2"/>
    <xf numFmtId="0" fontId="0" fillId="0" borderId="0" pivotButton="0" quotePrefix="0" xfId="0"/>
    <xf numFmtId="0" fontId="1" fillId="7" borderId="16" pivotButton="0" quotePrefix="0" xfId="0"/>
    <xf numFmtId="0" fontId="5" fillId="8" borderId="0" pivotButton="0" quotePrefix="0" xfId="0"/>
    <xf numFmtId="0" fontId="0" fillId="8" borderId="0" pivotButton="0" quotePrefix="0" xfId="0"/>
    <xf numFmtId="0" fontId="5" fillId="3" borderId="0" pivotButton="0" quotePrefix="0" xfId="0"/>
    <xf numFmtId="0" fontId="0" fillId="7" borderId="2" pivotButton="0" quotePrefix="0" xfId="0"/>
    <xf numFmtId="0" fontId="0" fillId="7" borderId="8" pivotButton="0" quotePrefix="0" xfId="0"/>
    <xf numFmtId="0" fontId="0" fillId="7" borderId="9" pivotButton="0" quotePrefix="0" xfId="0"/>
    <xf numFmtId="164" fontId="13" fillId="4" borderId="2" applyAlignment="1" pivotButton="0" quotePrefix="0" xfId="2">
      <alignment horizontal="center"/>
    </xf>
    <xf numFmtId="164" fontId="13" fillId="4" borderId="8" applyAlignment="1" pivotButton="0" quotePrefix="0" xfId="2">
      <alignment horizontal="center"/>
    </xf>
    <xf numFmtId="164" fontId="13" fillId="4" borderId="9" applyAlignment="1" pivotButton="0" quotePrefix="0" xfId="2">
      <alignment horizontal="center"/>
    </xf>
    <xf numFmtId="164" fontId="5" fillId="0" borderId="0" pivotButton="0" quotePrefix="0" xfId="2"/>
  </cellXfs>
  <cellStyles count="6">
    <cellStyle name="Normal" xfId="0" builtinId="0"/>
    <cellStyle name="Migliaia_tab emissioni" xfId="1"/>
    <cellStyle name="Normal 10" xfId="2"/>
    <cellStyle name="Normal 2" xfId="3"/>
    <cellStyle name="Normale_B2020" xfId="4"/>
    <cellStyle name="Standard_Sce_D_Extraction" xfId="5"/>
  </cellStyles>
  <tableStyles count="0" defaultTableStyle="TableStyleMedium9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externalLink" Target="/xl/externalLinks/externalLink1.xml" Id="rId8"/><Relationship Type="http://schemas.openxmlformats.org/officeDocument/2006/relationships/styles" Target="styles.xml" Id="rId9"/><Relationship Type="http://schemas.openxmlformats.org/officeDocument/2006/relationships/theme" Target="theme/theme1.xml" Id="rId10"/></Relationships>
</file>

<file path=xl/comments/comment1.xml><?xml version="1.0" encoding="utf-8"?>
<comments xmlns="http://schemas.openxmlformats.org/spreadsheetml/2006/main">
  <authors>
    <author>Maurizio Gargiulo</author>
  </authors>
  <commentList>
    <comment ref="B4" authorId="0" shapeId="0">
      <text>
        <t>Automatically created for a New Project</t>
      </text>
    </comment>
  </commentList>
</comments>
</file>

<file path=xl/comments/comment2.xml><?xml version="1.0" encoding="utf-8"?>
<comments xmlns="http://schemas.openxmlformats.org/spreadsheetml/2006/main">
  <authors>
    <author>Maurizio Gargiulo</author>
  </authors>
  <commentList>
    <comment ref="G6" authorId="0" shapeId="0">
      <text>
        <t>Possible definitions
Y or a positive number (mean apply this User CG in that region)
Empty mean this User CG is not applied in that region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0</col>
      <colOff>203200</colOff>
      <row>8</row>
      <rowOff>139700</rowOff>
    </from>
    <to>
      <col>10</col>
      <colOff>88900</colOff>
      <row>26</row>
      <rowOff>38100</rowOff>
    </to>
    <pic>
      <nvPicPr>
        <cNvPr id="1544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03200" y="1473200"/>
          <a:ext cx="6908800" cy="2971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Wolfgang/c/temphold/TMPL_RES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3:J6"/>
  <sheetViews>
    <sheetView zoomScaleNormal="100" workbookViewId="0">
      <selection activeCell="C35" sqref="C35"/>
    </sheetView>
  </sheetViews>
  <sheetFormatPr baseColWidth="10" defaultColWidth="8.83203125" defaultRowHeight="13"/>
  <cols>
    <col width="2.1640625" customWidth="1" style="73" min="1" max="1"/>
    <col width="19.1640625" bestFit="1" customWidth="1" style="73" min="2" max="2"/>
    <col width="14.5" customWidth="1" style="73" min="3" max="3"/>
    <col width="8.83203125" customWidth="1" style="73" min="4" max="6"/>
    <col width="3.5" customWidth="1" style="73" min="7" max="7"/>
    <col width="29.5" customWidth="1" style="73" min="8" max="8"/>
  </cols>
  <sheetData>
    <row r="3">
      <c r="B3" s="1" t="inlineStr">
        <is>
          <t>~BookRegions_Map</t>
        </is>
      </c>
      <c r="H3" s="1" t="inlineStr">
        <is>
          <t>~TimeSlices</t>
        </is>
      </c>
      <c r="I3" s="3" t="n"/>
      <c r="J3" s="3" t="n"/>
    </row>
    <row r="4">
      <c r="B4" s="2" t="inlineStr">
        <is>
          <t>BookName</t>
        </is>
      </c>
      <c r="C4" s="2" t="inlineStr">
        <is>
          <t>Region</t>
        </is>
      </c>
      <c r="H4" s="2" t="inlineStr">
        <is>
          <t>Season</t>
        </is>
      </c>
      <c r="I4" s="2" t="inlineStr">
        <is>
          <t>Weekly</t>
        </is>
      </c>
      <c r="J4" s="2" t="inlineStr">
        <is>
          <t>DayNite</t>
        </is>
      </c>
    </row>
    <row r="5">
      <c r="B5" s="20" t="inlineStr">
        <is>
          <t>REG1</t>
        </is>
      </c>
      <c r="C5" s="4" t="inlineStr">
        <is>
          <t>REG1</t>
        </is>
      </c>
      <c r="H5" t="inlineStr">
        <is>
          <t>S</t>
        </is>
      </c>
      <c r="J5" t="inlineStr">
        <is>
          <t>D</t>
        </is>
      </c>
    </row>
    <row r="6">
      <c r="B6" s="20" t="inlineStr">
        <is>
          <t>REG2</t>
        </is>
      </c>
      <c r="C6" s="77" t="inlineStr">
        <is>
          <t>REG2</t>
        </is>
      </c>
      <c r="H6" t="inlineStr">
        <is>
          <t>W</t>
        </is>
      </c>
      <c r="J6" t="inlineStr">
        <is>
          <t>N</t>
        </is>
      </c>
    </row>
  </sheetData>
  <pageMargins left="0.75" right="0.75" top="1" bottom="1" header="0.5" footer="0.5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3:D23"/>
  <sheetViews>
    <sheetView tabSelected="1" zoomScaleNormal="100" workbookViewId="0">
      <selection activeCell="B4" sqref="B4"/>
    </sheetView>
  </sheetViews>
  <sheetFormatPr baseColWidth="10" defaultColWidth="8.83203125" defaultRowHeight="13"/>
  <cols>
    <col width="8.83203125" customWidth="1" style="73" min="1" max="1"/>
    <col width="13.6640625" bestFit="1" customWidth="1" style="73" min="2" max="2"/>
    <col width="6.6640625" bestFit="1" customWidth="1" style="73" min="3" max="3"/>
    <col width="7.6640625" bestFit="1" customWidth="1" style="73" min="4" max="4"/>
    <col width="17.83203125" customWidth="1" style="73" min="5" max="5"/>
    <col width="8.6640625" bestFit="1" customWidth="1" style="73" min="6" max="6"/>
    <col width="8.83203125" customWidth="1" style="73" min="7" max="7"/>
    <col width="11.83203125" bestFit="1" customWidth="1" style="73" min="8" max="8"/>
  </cols>
  <sheetData>
    <row r="3">
      <c r="B3" t="inlineStr">
        <is>
          <t>~StartYear</t>
        </is>
      </c>
    </row>
    <row r="4">
      <c r="B4" t="n">
        <v>2020</v>
      </c>
    </row>
    <row r="7">
      <c r="B7" t="inlineStr">
        <is>
          <t>~ActivePDef</t>
        </is>
      </c>
    </row>
    <row r="8">
      <c r="B8" t="inlineStr">
        <is>
          <t>Pdef-11</t>
        </is>
      </c>
    </row>
    <row r="11">
      <c r="B11" t="inlineStr">
        <is>
          <t>~TimePeriods</t>
        </is>
      </c>
    </row>
    <row r="12">
      <c r="B12" s="78" t="inlineStr">
        <is>
          <t>Pdef-1</t>
        </is>
      </c>
      <c r="C12" s="79" t="inlineStr">
        <is>
          <t>Pdef-5</t>
        </is>
      </c>
      <c r="D12" s="80" t="inlineStr">
        <is>
          <t>Pdef-11</t>
        </is>
      </c>
    </row>
    <row r="13">
      <c r="B13" s="76" t="n">
        <v>1</v>
      </c>
      <c r="C13" s="76" t="n">
        <v>1</v>
      </c>
      <c r="D13" s="76" t="n">
        <v>1</v>
      </c>
    </row>
    <row r="14">
      <c r="B14" s="76" t="n">
        <v>2</v>
      </c>
      <c r="C14" s="76" t="n">
        <v>2</v>
      </c>
      <c r="D14" s="76" t="n">
        <v>2</v>
      </c>
    </row>
    <row r="15">
      <c r="B15" s="76" t="n"/>
      <c r="C15" s="76" t="n">
        <v>5</v>
      </c>
      <c r="D15" s="76" t="n">
        <v>5</v>
      </c>
    </row>
    <row r="16">
      <c r="B16" s="76" t="n"/>
      <c r="C16" s="76" t="n">
        <v>5</v>
      </c>
      <c r="D16" s="76" t="n">
        <v>5</v>
      </c>
    </row>
    <row r="17">
      <c r="B17" s="76" t="n"/>
      <c r="C17" s="76" t="n">
        <v>5</v>
      </c>
      <c r="D17" s="76" t="n">
        <v>5</v>
      </c>
    </row>
    <row r="18">
      <c r="B18" s="76" t="n"/>
      <c r="C18" s="76" t="n"/>
      <c r="D18" s="76" t="n">
        <v>5</v>
      </c>
    </row>
    <row r="19">
      <c r="B19" s="76" t="n"/>
      <c r="C19" s="76" t="n"/>
      <c r="D19" s="76" t="n">
        <v>5</v>
      </c>
    </row>
    <row r="20">
      <c r="B20" s="76" t="n"/>
      <c r="C20" s="76" t="n"/>
      <c r="D20" s="76" t="n">
        <v>5</v>
      </c>
    </row>
    <row r="21">
      <c r="B21" s="76" t="n"/>
      <c r="C21" s="76" t="n"/>
      <c r="D21" s="76" t="n">
        <v>5</v>
      </c>
    </row>
    <row r="22">
      <c r="B22" s="76" t="n"/>
      <c r="C22" s="76" t="n"/>
      <c r="D22" s="76" t="n">
        <v>5</v>
      </c>
    </row>
    <row r="23">
      <c r="B23" s="76" t="n"/>
      <c r="C23" s="76" t="n"/>
      <c r="D23" s="76" t="n">
        <v>5</v>
      </c>
    </row>
  </sheetData>
  <pageMargins left="0.75" right="0.75" top="1" bottom="1" header="0.5" footer="0.5"/>
  <pageSetup orientation="portrait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3:C9"/>
  <sheetViews>
    <sheetView zoomScaleNormal="100" workbookViewId="0">
      <selection activeCell="E27" sqref="E27"/>
    </sheetView>
  </sheetViews>
  <sheetFormatPr baseColWidth="10" defaultColWidth="8.83203125" defaultRowHeight="13"/>
  <cols>
    <col width="2.5" customWidth="1" style="73" min="1" max="1"/>
    <col width="52.6640625" bestFit="1" customWidth="1" style="73" min="2" max="2"/>
  </cols>
  <sheetData>
    <row r="3">
      <c r="B3" s="14" t="inlineStr">
        <is>
          <t>~ImpSettings</t>
        </is>
      </c>
    </row>
    <row r="4">
      <c r="B4" s="15" t="inlineStr">
        <is>
          <t>Option</t>
        </is>
      </c>
      <c r="C4" s="74" t="inlineStr">
        <is>
          <t>Value</t>
        </is>
      </c>
    </row>
    <row r="5" s="73">
      <c r="B5" s="75" t="inlineStr">
        <is>
          <t>Check #DIV/0 and #REF errors in Templates</t>
        </is>
      </c>
      <c r="C5" s="75" t="n">
        <v>1</v>
      </c>
    </row>
    <row r="6">
      <c r="B6" s="76" t="inlineStr">
        <is>
          <t>Create Dummy Imports for Energy and Material Commodities</t>
        </is>
      </c>
      <c r="C6" s="76" t="n">
        <v>1</v>
      </c>
    </row>
    <row r="7">
      <c r="B7" s="76" t="inlineStr">
        <is>
          <t>Create Dummy Imports for Demands</t>
        </is>
      </c>
      <c r="C7" s="76" t="n">
        <v>1</v>
      </c>
    </row>
    <row r="8">
      <c r="B8" s="76" t="inlineStr">
        <is>
          <t>Generate Vintage Bounds</t>
        </is>
      </c>
      <c r="C8" s="76" t="n">
        <v>0</v>
      </c>
    </row>
    <row r="9">
      <c r="B9" s="76" t="inlineStr">
        <is>
          <t>DumVarforUC</t>
        </is>
      </c>
      <c r="C9" s="76" t="n">
        <v>0</v>
      </c>
    </row>
  </sheetData>
  <pageMargins left="0.75" right="0.75" top="1" bottom="1" header="0.5" footer="0.5"/>
  <pageSetup orientation="portrait" verticalDpi="30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3:Q36"/>
  <sheetViews>
    <sheetView zoomScaleNormal="100" workbookViewId="0">
      <selection activeCell="N25" sqref="N25:N26"/>
    </sheetView>
  </sheetViews>
  <sheetFormatPr baseColWidth="10" defaultColWidth="8.83203125" defaultRowHeight="13"/>
  <cols>
    <col width="2.83203125" customWidth="1" style="73" min="1" max="1"/>
    <col width="8.83203125" customWidth="1" style="73" min="2" max="3"/>
    <col width="9.6640625" bestFit="1" customWidth="1" style="73" min="4" max="4"/>
    <col width="11.6640625" bestFit="1" customWidth="1" style="73" min="5" max="5"/>
    <col width="9.5" customWidth="1" style="73" min="6" max="6"/>
    <col width="10.6640625" bestFit="1" customWidth="1" style="73" min="7" max="7"/>
    <col width="10.6640625" customWidth="1" style="73" min="8" max="9"/>
    <col width="8.83203125" customWidth="1" style="73" min="10" max="12"/>
    <col width="9.33203125" customWidth="1" style="73" min="13" max="13"/>
  </cols>
  <sheetData>
    <row r="3">
      <c r="B3" s="1" t="inlineStr">
        <is>
          <t>~TFM_UPD</t>
        </is>
      </c>
    </row>
    <row r="4" ht="14" customHeight="1" s="73" thickBot="1">
      <c r="B4" s="5" t="inlineStr">
        <is>
          <t>TimeSlice</t>
        </is>
      </c>
      <c r="C4" s="5" t="inlineStr">
        <is>
          <t>LimType</t>
        </is>
      </c>
      <c r="D4" s="5" t="inlineStr">
        <is>
          <t>Attribute</t>
        </is>
      </c>
      <c r="E4" s="5" t="inlineStr">
        <is>
          <t>Year</t>
        </is>
      </c>
      <c r="F4" s="5" t="inlineStr">
        <is>
          <t>AllRegions</t>
        </is>
      </c>
      <c r="G4" s="5" t="inlineStr">
        <is>
          <t>Pset_PN</t>
        </is>
      </c>
    </row>
    <row r="5">
      <c r="C5" t="inlineStr">
        <is>
          <t>UP</t>
        </is>
      </c>
      <c r="D5" t="inlineStr">
        <is>
          <t>ACT_BND</t>
        </is>
      </c>
      <c r="E5" t="n">
        <v>0</v>
      </c>
      <c r="F5" t="n">
        <v>5</v>
      </c>
    </row>
    <row r="6">
      <c r="C6" t="inlineStr">
        <is>
          <t>UP</t>
        </is>
      </c>
      <c r="D6" s="20" t="inlineStr">
        <is>
          <t>Share-O</t>
        </is>
      </c>
      <c r="E6" s="20" t="n">
        <v>0</v>
      </c>
      <c r="F6" t="n">
        <v>5</v>
      </c>
    </row>
    <row r="7">
      <c r="C7" t="inlineStr">
        <is>
          <t>UP</t>
        </is>
      </c>
      <c r="D7" s="20" t="inlineStr">
        <is>
          <t>Share-I</t>
        </is>
      </c>
      <c r="E7" s="20" t="n">
        <v>0</v>
      </c>
      <c r="F7" t="n">
        <v>5</v>
      </c>
    </row>
    <row r="18" ht="19.5" customHeight="1" s="73"/>
    <row r="19" ht="15.75" customHeight="1" s="73"/>
    <row r="30" ht="16" customHeight="1" s="73">
      <c r="B30" s="7" t="inlineStr">
        <is>
          <t>*Set a default price or apply a factor for those IMPorts with "Z" in the name.</t>
        </is>
      </c>
    </row>
    <row r="32" ht="18" customHeight="1" s="73">
      <c r="B32" s="9" t="inlineStr">
        <is>
          <t>Dummy Imp Prices</t>
        </is>
      </c>
      <c r="C32" s="9" t="n"/>
      <c r="D32" s="9" t="n"/>
    </row>
    <row r="33">
      <c r="B33" s="1" t="inlineStr">
        <is>
          <t>~TFM_UPD</t>
        </is>
      </c>
    </row>
    <row r="34" ht="14" customHeight="1" s="73" thickBot="1">
      <c r="B34" s="5" t="inlineStr">
        <is>
          <t>TimeSlice</t>
        </is>
      </c>
      <c r="C34" s="5" t="inlineStr">
        <is>
          <t>LimType</t>
        </is>
      </c>
      <c r="D34" s="5" t="inlineStr">
        <is>
          <t>Attribute</t>
        </is>
      </c>
      <c r="E34" s="5" t="inlineStr">
        <is>
          <t>Year</t>
        </is>
      </c>
      <c r="F34" s="5" t="inlineStr">
        <is>
          <t>Other_Indexes</t>
        </is>
      </c>
      <c r="G34" s="5" t="inlineStr">
        <is>
          <t>AllRegions</t>
        </is>
      </c>
      <c r="H34" s="5" t="inlineStr">
        <is>
          <t>REG1</t>
        </is>
      </c>
      <c r="I34" s="5" t="inlineStr">
        <is>
          <t>REG2</t>
        </is>
      </c>
      <c r="J34" s="5" t="inlineStr">
        <is>
          <t>Pset_Set</t>
        </is>
      </c>
      <c r="K34" s="5" t="inlineStr">
        <is>
          <t>Pset_PN</t>
        </is>
      </c>
      <c r="L34" s="5" t="inlineStr">
        <is>
          <t>Pset_PD</t>
        </is>
      </c>
      <c r="M34" s="5" t="inlineStr">
        <is>
          <t>Pset_CI</t>
        </is>
      </c>
      <c r="N34" s="5" t="inlineStr">
        <is>
          <t>Pset_CO</t>
        </is>
      </c>
      <c r="O34" s="5" t="inlineStr">
        <is>
          <t>Cset_Set</t>
        </is>
      </c>
      <c r="P34" s="5" t="inlineStr">
        <is>
          <t>Cset_CN</t>
        </is>
      </c>
      <c r="Q34" s="5" t="inlineStr">
        <is>
          <t>Cset_CD</t>
        </is>
      </c>
    </row>
    <row r="35">
      <c r="D35" t="inlineStr">
        <is>
          <t>ACTCOST</t>
        </is>
      </c>
      <c r="G35" t="n">
        <v>2222</v>
      </c>
      <c r="J35" t="inlineStr">
        <is>
          <t>IRE</t>
        </is>
      </c>
      <c r="K35" t="inlineStr">
        <is>
          <t>IMP*Z</t>
        </is>
      </c>
    </row>
    <row r="36">
      <c r="D36" t="inlineStr">
        <is>
          <t>ACTCOST</t>
        </is>
      </c>
      <c r="G36" t="n">
        <v>8888</v>
      </c>
      <c r="J36" t="inlineStr">
        <is>
          <t>IRE</t>
        </is>
      </c>
      <c r="K36" t="inlineStr">
        <is>
          <t>IMPDEMZ</t>
        </is>
      </c>
    </row>
  </sheetData>
  <pageMargins left="0.75" right="0.75" top="1" bottom="1" header="0.5" footer="0.5"/>
  <pageSetup orientation="portrait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3:H33"/>
  <sheetViews>
    <sheetView zoomScaleNormal="100" workbookViewId="0">
      <selection activeCell="B5" sqref="B5:H6"/>
    </sheetView>
  </sheetViews>
  <sheetFormatPr baseColWidth="10" defaultColWidth="9.1640625" defaultRowHeight="13"/>
  <cols>
    <col width="9.1640625" customWidth="1" style="71" min="1" max="1"/>
    <col width="12.1640625" customWidth="1" style="71" min="2" max="2"/>
    <col width="10.83203125" customWidth="1" style="71" min="3" max="3"/>
    <col width="14" customWidth="1" style="71" min="4" max="4"/>
    <col width="10.5" bestFit="1" customWidth="1" style="71" min="5" max="5"/>
    <col width="10.5" customWidth="1" style="71" min="6" max="6"/>
    <col width="9.1640625" customWidth="1" style="71" min="7" max="16384"/>
  </cols>
  <sheetData>
    <row r="3" ht="16" customHeight="1" s="73">
      <c r="B3" s="7" t="inlineStr">
        <is>
          <t>* Define constants for the model</t>
        </is>
      </c>
    </row>
    <row r="5">
      <c r="B5" s="11" t="inlineStr">
        <is>
          <t>~TFM_INS</t>
        </is>
      </c>
    </row>
    <row r="6" ht="14" customHeight="1" s="73" thickBot="1">
      <c r="B6" s="5" t="inlineStr">
        <is>
          <t>TimeSlice</t>
        </is>
      </c>
      <c r="C6" s="5" t="inlineStr">
        <is>
          <t>LimType</t>
        </is>
      </c>
      <c r="D6" s="5" t="inlineStr">
        <is>
          <t>Attribute</t>
        </is>
      </c>
      <c r="E6" s="5" t="inlineStr">
        <is>
          <t>AllRegions</t>
        </is>
      </c>
      <c r="F6" s="5" t="inlineStr">
        <is>
          <t>REG1</t>
        </is>
      </c>
      <c r="G6" s="5" t="inlineStr">
        <is>
          <t>REG2</t>
        </is>
      </c>
      <c r="H6" s="5" t="inlineStr">
        <is>
          <t>Cset_CN</t>
        </is>
      </c>
    </row>
    <row r="7">
      <c r="D7" s="71" t="inlineStr">
        <is>
          <t>G_DYEAR</t>
        </is>
      </c>
      <c r="E7" s="71" t="n">
        <v>2005</v>
      </c>
      <c r="F7" s="71" t="n"/>
      <c r="G7" s="71" t="n"/>
    </row>
    <row r="8">
      <c r="D8" s="71" t="inlineStr">
        <is>
          <t>Discount</t>
        </is>
      </c>
      <c r="E8" s="71" t="n">
        <v>0.05</v>
      </c>
      <c r="F8" s="71" t="n"/>
      <c r="G8" s="71" t="n"/>
    </row>
    <row r="9">
      <c r="B9" s="71" t="inlineStr">
        <is>
          <t>SD</t>
        </is>
      </c>
      <c r="C9" s="71" t="n"/>
      <c r="D9" s="71" t="inlineStr">
        <is>
          <t>YRFR</t>
        </is>
      </c>
      <c r="E9" s="72">
        <f>C23</f>
        <v/>
      </c>
    </row>
    <row r="10">
      <c r="B10" s="71" t="inlineStr">
        <is>
          <t>SN</t>
        </is>
      </c>
      <c r="C10" s="71" t="n"/>
      <c r="D10" s="71" t="inlineStr">
        <is>
          <t>YRFR</t>
        </is>
      </c>
      <c r="E10" s="72">
        <f>D23</f>
        <v/>
      </c>
    </row>
    <row r="11">
      <c r="B11" s="71" t="inlineStr">
        <is>
          <t>WD</t>
        </is>
      </c>
      <c r="C11" s="71" t="n"/>
      <c r="D11" s="71" t="inlineStr">
        <is>
          <t>YRFR</t>
        </is>
      </c>
      <c r="E11" s="72">
        <f>E23</f>
        <v/>
      </c>
    </row>
    <row r="12">
      <c r="B12" s="71" t="inlineStr">
        <is>
          <t>WN</t>
        </is>
      </c>
      <c r="C12" s="71" t="n"/>
      <c r="D12" s="71" t="inlineStr">
        <is>
          <t>YRFR</t>
        </is>
      </c>
      <c r="E12" s="72">
        <f>F23</f>
        <v/>
      </c>
    </row>
    <row r="13">
      <c r="D13" s="71" t="inlineStr">
        <is>
          <t>COM_IE</t>
        </is>
      </c>
      <c r="E13" s="71" t="n"/>
      <c r="F13" s="72" t="n">
        <v>0.9</v>
      </c>
      <c r="G13" s="72" t="n">
        <v>0.95</v>
      </c>
      <c r="H13" s="71" t="inlineStr">
        <is>
          <t>ELC</t>
        </is>
      </c>
    </row>
    <row r="14">
      <c r="D14" s="71" t="n"/>
      <c r="E14" s="71" t="n"/>
      <c r="F14" s="72" t="n"/>
      <c r="G14" s="72" t="n"/>
    </row>
    <row r="15">
      <c r="D15" s="71" t="n"/>
      <c r="E15" s="71" t="n"/>
      <c r="F15" s="72" t="n"/>
      <c r="G15" s="72" t="n"/>
    </row>
    <row r="16">
      <c r="E16" s="71" t="n"/>
      <c r="F16" s="71" t="n"/>
      <c r="G16" s="71" t="n"/>
    </row>
    <row r="17">
      <c r="E17" s="71" t="n"/>
      <c r="F17" s="71" t="n"/>
      <c r="G17" s="71" t="n"/>
    </row>
    <row r="18">
      <c r="E18" s="71" t="n"/>
      <c r="F18" s="71" t="n"/>
      <c r="G18" s="71" t="n"/>
    </row>
    <row r="19" ht="18" customHeight="1" s="73">
      <c r="B19" s="22" t="inlineStr">
        <is>
          <t>Time slices</t>
        </is>
      </c>
      <c r="C19" s="23" t="n"/>
      <c r="D19" s="24" t="n"/>
      <c r="E19" s="24" t="n"/>
      <c r="F19" s="24" t="n"/>
      <c r="G19" s="24" t="n"/>
    </row>
    <row r="20">
      <c r="B20" s="71" t="n"/>
      <c r="C20" s="26" t="n"/>
      <c r="D20" s="26" t="n"/>
      <c r="E20" s="71" t="n"/>
      <c r="F20" s="71" t="n"/>
    </row>
    <row r="21">
      <c r="B21" s="28" t="inlineStr">
        <is>
          <t>Attribute</t>
        </is>
      </c>
      <c r="C21" s="29" t="inlineStr">
        <is>
          <t>SD</t>
        </is>
      </c>
      <c r="D21" s="30" t="inlineStr">
        <is>
          <t>SN</t>
        </is>
      </c>
      <c r="E21" s="30" t="inlineStr">
        <is>
          <t>WD</t>
        </is>
      </c>
      <c r="F21" s="31" t="inlineStr">
        <is>
          <t>WN</t>
        </is>
      </c>
    </row>
    <row r="22">
      <c r="B22" s="32" t="n"/>
      <c r="C22" s="33" t="inlineStr">
        <is>
          <t>Summer Day</t>
        </is>
      </c>
      <c r="D22" s="34" t="inlineStr">
        <is>
          <t>Summer Night</t>
        </is>
      </c>
      <c r="E22" s="34" t="inlineStr">
        <is>
          <t>Winter Day</t>
        </is>
      </c>
      <c r="F22" s="35" t="inlineStr">
        <is>
          <t>Winter Night</t>
        </is>
      </c>
    </row>
    <row r="23">
      <c r="B23" s="28" t="inlineStr">
        <is>
          <t>YRFR</t>
        </is>
      </c>
      <c r="C23" s="81">
        <f>C32/$F32*$E27</f>
        <v/>
      </c>
      <c r="D23" s="82">
        <f>D32/$F32*$E27</f>
        <v/>
      </c>
      <c r="E23" s="82">
        <f>C33/$F33*$E28</f>
        <v/>
      </c>
      <c r="F23" s="83">
        <f>D33/$F33*$E28</f>
        <v/>
      </c>
      <c r="G23" s="84">
        <f>SUM(C23:F23)</f>
        <v/>
      </c>
    </row>
    <row r="24">
      <c r="B24" s="43" t="n"/>
      <c r="C24" s="43" t="n"/>
      <c r="D24" s="43" t="n"/>
      <c r="E24" s="43" t="n"/>
      <c r="F24" s="43" t="n"/>
    </row>
    <row r="25">
      <c r="B25" s="43" t="n"/>
      <c r="C25" s="42" t="n"/>
      <c r="D25" s="42" t="n"/>
      <c r="E25" s="42" t="n"/>
      <c r="F25" s="43" t="n"/>
      <c r="G25" s="43" t="n"/>
    </row>
    <row r="26">
      <c r="B26" s="43" t="n"/>
      <c r="C26" s="44" t="inlineStr">
        <is>
          <t>Seasons</t>
        </is>
      </c>
      <c r="D26" s="45" t="inlineStr">
        <is>
          <t>N. of Days</t>
        </is>
      </c>
      <c r="E26" s="46" t="inlineStr">
        <is>
          <t>Fraction</t>
        </is>
      </c>
      <c r="F26" s="47" t="n"/>
      <c r="G26" s="43" t="n"/>
    </row>
    <row r="27">
      <c r="B27" s="48" t="inlineStr">
        <is>
          <t>Summer</t>
        </is>
      </c>
      <c r="C27" s="49" t="inlineStr">
        <is>
          <t>S</t>
        </is>
      </c>
      <c r="D27" s="50" t="n">
        <v>175</v>
      </c>
      <c r="E27" s="51">
        <f>D27/D29</f>
        <v/>
      </c>
      <c r="F27" s="52" t="n"/>
      <c r="G27" s="43" t="n"/>
    </row>
    <row r="28">
      <c r="B28" s="53" t="inlineStr">
        <is>
          <t>Winter</t>
        </is>
      </c>
      <c r="C28" s="54" t="inlineStr">
        <is>
          <t xml:space="preserve">W </t>
        </is>
      </c>
      <c r="D28" s="55">
        <f>365-D27</f>
        <v/>
      </c>
      <c r="E28" s="56">
        <f>D28/D29</f>
        <v/>
      </c>
      <c r="F28" s="52" t="n"/>
      <c r="G28" s="43" t="n"/>
    </row>
    <row r="29">
      <c r="B29" s="43" t="n"/>
      <c r="C29" s="43" t="n"/>
      <c r="D29" s="57">
        <f>SUM(D27:D28)</f>
        <v/>
      </c>
      <c r="E29" s="58">
        <f>SUM(E27:E28)</f>
        <v/>
      </c>
      <c r="F29" s="67" t="n"/>
      <c r="G29" s="43" t="n"/>
    </row>
    <row r="30">
      <c r="B30" s="43" t="n"/>
      <c r="C30" s="43" t="n"/>
      <c r="D30" s="60" t="n"/>
      <c r="E30" s="43" t="n"/>
      <c r="F30" s="43" t="n"/>
      <c r="G30" s="43" t="n"/>
    </row>
    <row r="31">
      <c r="B31" s="61" t="n"/>
      <c r="C31" s="62" t="inlineStr">
        <is>
          <t>Day</t>
        </is>
      </c>
      <c r="D31" s="46" t="inlineStr">
        <is>
          <t>Night</t>
        </is>
      </c>
      <c r="E31" s="63" t="n"/>
      <c r="F31" s="43" t="n"/>
      <c r="G31" s="43" t="n"/>
    </row>
    <row r="32">
      <c r="B32" s="64" t="inlineStr">
        <is>
          <t>S</t>
        </is>
      </c>
      <c r="C32" s="65" t="n">
        <v>12.5</v>
      </c>
      <c r="D32" s="66" t="n">
        <v>11.5</v>
      </c>
      <c r="E32" s="67" t="n"/>
      <c r="F32" s="67">
        <f>SUM(C32:E32)</f>
        <v/>
      </c>
      <c r="G32" s="43" t="n"/>
    </row>
    <row r="33">
      <c r="B33" s="68" t="inlineStr">
        <is>
          <t>W</t>
        </is>
      </c>
      <c r="C33" s="69" t="n">
        <v>11.5</v>
      </c>
      <c r="D33" s="70" t="n">
        <v>12.5</v>
      </c>
      <c r="E33" s="67" t="n"/>
      <c r="F33" s="67">
        <f>SUM(C33:E33)</f>
        <v/>
      </c>
      <c r="G33" s="43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2:I6"/>
  <sheetViews>
    <sheetView workbookViewId="0">
      <selection activeCell="B5" sqref="B5"/>
    </sheetView>
  </sheetViews>
  <sheetFormatPr baseColWidth="10" defaultColWidth="8.83203125" defaultRowHeight="13"/>
  <cols>
    <col width="8.83203125" customWidth="1" style="73" min="1" max="1"/>
    <col width="11.6640625" bestFit="1" customWidth="1" style="73" min="2" max="2"/>
    <col width="8.83203125" customWidth="1" style="73" min="3" max="3"/>
    <col width="15.5" bestFit="1" customWidth="1" style="73" min="4" max="4"/>
    <col width="4" bestFit="1" customWidth="1" style="73" min="5" max="5"/>
    <col width="4.5" bestFit="1" customWidth="1" style="73" min="6" max="6"/>
    <col width="4.33203125" bestFit="1" customWidth="1" style="73" min="7" max="7"/>
    <col width="5" bestFit="1" customWidth="1" style="73" min="8" max="8"/>
  </cols>
  <sheetData>
    <row r="2">
      <c r="B2" s="1" t="inlineStr">
        <is>
          <t>~Currencies</t>
        </is>
      </c>
      <c r="D2" s="1" t="inlineStr">
        <is>
          <t>~DefUnits</t>
        </is>
      </c>
    </row>
    <row r="3" ht="14" customHeight="1" s="73" thickBot="1">
      <c r="B3" s="13" t="inlineStr">
        <is>
          <t>Currency</t>
        </is>
      </c>
      <c r="D3" s="13" t="inlineStr">
        <is>
          <t>Option</t>
        </is>
      </c>
      <c r="E3" s="21" t="inlineStr">
        <is>
          <t>PRI</t>
        </is>
      </c>
      <c r="F3" s="21" t="inlineStr">
        <is>
          <t>ELC</t>
        </is>
      </c>
      <c r="G3" s="21" t="inlineStr">
        <is>
          <t>IND</t>
        </is>
      </c>
      <c r="H3" s="21" t="inlineStr">
        <is>
          <t>RCA</t>
        </is>
      </c>
      <c r="I3" s="21" t="inlineStr">
        <is>
          <t>TRA</t>
        </is>
      </c>
    </row>
    <row r="4">
      <c r="B4" s="20" t="inlineStr">
        <is>
          <t>MEuro05</t>
        </is>
      </c>
      <c r="D4" t="inlineStr">
        <is>
          <t>Process_ActUnit</t>
        </is>
      </c>
      <c r="E4" s="20" t="inlineStr">
        <is>
          <t>PJ</t>
        </is>
      </c>
      <c r="F4" s="20" t="inlineStr">
        <is>
          <t>PJ</t>
        </is>
      </c>
      <c r="G4" s="20" t="inlineStr">
        <is>
          <t>PJ</t>
        </is>
      </c>
      <c r="H4" s="20" t="inlineStr">
        <is>
          <t>PJ</t>
        </is>
      </c>
      <c r="I4" s="20" t="inlineStr">
        <is>
          <t>kPk</t>
        </is>
      </c>
    </row>
    <row r="5">
      <c r="D5" t="inlineStr">
        <is>
          <t>Process_CapUnit</t>
        </is>
      </c>
      <c r="E5" s="20" t="inlineStr">
        <is>
          <t>Pja</t>
        </is>
      </c>
      <c r="F5" s="20" t="inlineStr">
        <is>
          <t>GW</t>
        </is>
      </c>
      <c r="G5" s="20" t="inlineStr">
        <is>
          <t>GW</t>
        </is>
      </c>
      <c r="H5" s="20" t="inlineStr">
        <is>
          <t>Pja</t>
        </is>
      </c>
      <c r="I5" s="20" t="inlineStr">
        <is>
          <t>000_Units</t>
        </is>
      </c>
    </row>
    <row r="6">
      <c r="D6" t="inlineStr">
        <is>
          <t>Commodity_Unit</t>
        </is>
      </c>
      <c r="E6" t="inlineStr">
        <is>
          <t>PJ</t>
        </is>
      </c>
      <c r="F6" t="inlineStr">
        <is>
          <t>PJ</t>
        </is>
      </c>
      <c r="G6" t="inlineStr">
        <is>
          <t>PJ</t>
        </is>
      </c>
      <c r="H6" t="inlineStr">
        <is>
          <t>PJ</t>
        </is>
      </c>
      <c r="I6" s="20" t="inlineStr">
        <is>
          <t>kPk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I7"/>
  <sheetViews>
    <sheetView zoomScaleNormal="100" workbookViewId="0">
      <selection activeCell="C21" sqref="C21"/>
    </sheetView>
  </sheetViews>
  <sheetFormatPr baseColWidth="10" defaultColWidth="8.83203125" defaultRowHeight="13"/>
  <cols>
    <col width="3.1640625" customWidth="1" style="73" min="1" max="1"/>
    <col width="15.6640625" customWidth="1" style="73" min="2" max="2"/>
    <col width="18.33203125" customWidth="1" style="73" min="3" max="3"/>
    <col width="8.6640625" bestFit="1" customWidth="1" style="73" min="4" max="4"/>
    <col width="8.5" bestFit="1" customWidth="1" style="73" min="5" max="6"/>
    <col width="11.33203125" customWidth="1" style="73" min="7" max="8"/>
    <col width="11.83203125" customWidth="1" style="73" min="9" max="11"/>
  </cols>
  <sheetData>
    <row r="2" ht="16" customHeight="1" s="73">
      <c r="B2" s="7" t="inlineStr">
        <is>
          <t>* Define the explicit commodity groups needed</t>
        </is>
      </c>
      <c r="C2" s="8" t="n"/>
      <c r="D2" s="8" t="n"/>
      <c r="E2" s="8" t="n"/>
      <c r="F2" s="8" t="n"/>
      <c r="G2" s="8" t="n"/>
      <c r="H2" s="8" t="n"/>
    </row>
    <row r="4" ht="21" customHeight="1" s="73">
      <c r="B4" s="9" t="inlineStr">
        <is>
          <t>User-Defined CG</t>
        </is>
      </c>
      <c r="C4" s="9" t="n"/>
      <c r="D4" s="9" t="n"/>
      <c r="E4" s="9" t="n"/>
      <c r="F4" s="9" t="n"/>
    </row>
    <row r="5" ht="18" customHeight="1" s="73">
      <c r="B5" s="1" t="inlineStr">
        <is>
          <t>~TFM_COMGRP</t>
        </is>
      </c>
    </row>
    <row r="6" ht="18.75" customHeight="1" s="73" thickBot="1">
      <c r="B6" s="5" t="inlineStr">
        <is>
          <t>Name</t>
        </is>
      </c>
      <c r="C6" s="5" t="inlineStr">
        <is>
          <t>Description</t>
        </is>
      </c>
      <c r="D6" s="5" t="inlineStr">
        <is>
          <t>Cset_Set</t>
        </is>
      </c>
      <c r="E6" s="5" t="inlineStr">
        <is>
          <t>Cset_CN</t>
        </is>
      </c>
      <c r="F6" s="5" t="inlineStr">
        <is>
          <t>Cset_CD</t>
        </is>
      </c>
      <c r="G6" s="5" t="inlineStr">
        <is>
          <t>AllRegions</t>
        </is>
      </c>
      <c r="H6" s="5" t="inlineStr">
        <is>
          <t>REG1</t>
        </is>
      </c>
      <c r="I6" s="5" t="inlineStr">
        <is>
          <t>REG2</t>
        </is>
      </c>
    </row>
    <row r="7" ht="29" customHeight="1" s="73" thickBot="1">
      <c r="B7" s="10" t="inlineStr">
        <is>
          <t>\I:Commodity Group Name</t>
        </is>
      </c>
      <c r="C7" s="10" t="inlineStr">
        <is>
          <t>Commodity Group Description</t>
        </is>
      </c>
      <c r="D7" s="10" t="n"/>
      <c r="E7" s="10" t="n"/>
      <c r="F7" s="10" t="n"/>
      <c r="G7" s="10" t="n"/>
      <c r="H7" s="10" t="n"/>
      <c r="I7" s="10" t="n"/>
    </row>
  </sheetData>
  <pageMargins left="0.75" right="0.75" top="1" bottom="1" header="0.5" footer="0.5"/>
  <pageSetup orientation="portrait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Amit Kanudia</dc:creator>
  <dcterms:created xmlns:dcterms="http://purl.org/dc/terms/" xmlns:xsi="http://www.w3.org/2001/XMLSchema-instance" xsi:type="dcterms:W3CDTF">2001-09-28T18:48:17Z</dcterms:created>
  <dcterms:modified xmlns:dcterms="http://purl.org/dc/terms/" xmlns:xsi="http://www.w3.org/2001/XMLSchema-instance" xsi:type="dcterms:W3CDTF">2020-07-05T10:03:43Z</dcterms:modified>
  <cp:lastModifiedBy>Microsoft Office User</cp:lastModifiedBy>
  <cp:lastPrinted>2001-09-28T20:39:50Z</cp:lastPrinted>
</cp:coreProperties>
</file>