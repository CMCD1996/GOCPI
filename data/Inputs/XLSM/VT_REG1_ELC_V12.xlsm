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614"/>
  <workbookPr showObjects="placeholders" codeName="ThisWorkbook"/>
  <mc:AlternateContent xmlns:mc="http://schemas.openxmlformats.org/markup-compatibility/2006">
    <mc:Choice Requires="x15">
      <x15ac:absPath xmlns:x15ac="http://schemas.microsoft.com/office/spreadsheetml/2010/11/ac" url="/Users/connor/Google Drive/Documents/University/Courses/2020/ENGSCI 700A&amp;B/GOCPI/data/Inputs/XLSM/"/>
    </mc:Choice>
  </mc:AlternateContent>
  <xr:revisionPtr revIDLastSave="0" documentId="8_{53C26861-9F6F-F14C-B430-6E48CAD70651}" xr6:coauthVersionLast="45" xr6:coauthVersionMax="45" xr10:uidLastSave="{00000000-0000-0000-0000-000000000000}"/>
  <bookViews>
    <workbookView xWindow="9560" yWindow="460" windowWidth="10000" windowHeight="10960" tabRatio="901" firstSheet="1" activeTab="3"/>
  </bookViews>
  <sheets>
    <sheet name="EB1" sheetId="133" r:id="rId1"/>
    <sheet name="RES_ELC" sheetId="152" r:id="rId2"/>
    <sheet name="Sector_Fuels_ELC" sheetId="140" r:id="rId3"/>
    <sheet name="Con_ELC" sheetId="143" r:id="rId4"/>
    <sheet name="Emi" sheetId="149" r:id="rId5"/>
  </sheets>
  <externalReferences>
    <externalReference r:id="rId6"/>
    <externalReference r:id="rId7"/>
  </externalReferences>
  <definedNames>
    <definedName name="FID_1">[1]AGR_Fuels!$A$2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1" i="143" l="1"/>
  <c r="E11" i="143"/>
  <c r="R17" i="143"/>
  <c r="U6" i="133"/>
  <c r="G5" i="133"/>
  <c r="M5" i="133"/>
  <c r="H7" i="133"/>
  <c r="N8" i="133"/>
  <c r="Y19" i="143"/>
  <c r="Y18" i="143"/>
  <c r="Y17" i="143"/>
  <c r="C2" i="140"/>
  <c r="M9" i="140" s="1"/>
  <c r="M22" i="140" s="1"/>
  <c r="B2" i="140"/>
  <c r="L10" i="140" s="1"/>
  <c r="C23" i="140"/>
  <c r="C22" i="140"/>
  <c r="C21" i="140"/>
  <c r="C20" i="140"/>
  <c r="H11" i="143"/>
  <c r="G11" i="143"/>
  <c r="Y15" i="143"/>
  <c r="X6" i="143"/>
  <c r="G2" i="143"/>
  <c r="L11" i="143" s="1"/>
  <c r="E2" i="143"/>
  <c r="O11" i="143" s="1"/>
  <c r="C2" i="143"/>
  <c r="W6" i="143" s="1"/>
  <c r="B2" i="143"/>
  <c r="V14" i="143" s="1"/>
  <c r="W5" i="143"/>
  <c r="V5" i="143"/>
  <c r="D14" i="143" s="1"/>
  <c r="D13" i="143"/>
  <c r="Y16" i="143"/>
  <c r="Y14" i="143"/>
  <c r="Y13" i="143"/>
  <c r="Y12" i="143"/>
  <c r="F2" i="140"/>
  <c r="F17" i="140" s="1"/>
  <c r="E2" i="140"/>
  <c r="O19" i="140" s="1"/>
  <c r="P8" i="133"/>
  <c r="J6" i="133"/>
  <c r="U7" i="133"/>
  <c r="M6" i="133"/>
  <c r="E23" i="140" s="1"/>
  <c r="L5" i="133"/>
  <c r="L8" i="133"/>
  <c r="P7" i="133"/>
  <c r="U8" i="133"/>
  <c r="O8" i="133"/>
  <c r="D8" i="133"/>
  <c r="F5" i="133"/>
  <c r="F9" i="133" s="1"/>
  <c r="K8" i="133"/>
  <c r="I6" i="133"/>
  <c r="E7" i="133"/>
  <c r="H6" i="133"/>
  <c r="I8" i="133"/>
  <c r="R5" i="133"/>
  <c r="R9" i="133" s="1"/>
  <c r="J5" i="133"/>
  <c r="I7" i="133"/>
  <c r="K7" i="133"/>
  <c r="F6" i="133"/>
  <c r="J7" i="133"/>
  <c r="P5" i="133"/>
  <c r="P9" i="133" s="1"/>
  <c r="H5" i="133"/>
  <c r="H9" i="133"/>
  <c r="R8" i="133"/>
  <c r="R6" i="133"/>
  <c r="G19" i="143" s="1"/>
  <c r="R19" i="143" s="1"/>
  <c r="O7" i="133"/>
  <c r="K5" i="133"/>
  <c r="K9" i="133" s="1"/>
  <c r="F8" i="133"/>
  <c r="T6" i="133"/>
  <c r="E6" i="133"/>
  <c r="G13" i="143" s="1"/>
  <c r="R13" i="143" s="1"/>
  <c r="S5" i="133"/>
  <c r="S9" i="133" s="1"/>
  <c r="D7" i="133"/>
  <c r="F7" i="133"/>
  <c r="D6" i="133"/>
  <c r="N7" i="133"/>
  <c r="S7" i="133"/>
  <c r="S6" i="133"/>
  <c r="K6" i="133"/>
  <c r="R7" i="133"/>
  <c r="H8" i="133"/>
  <c r="G6" i="133"/>
  <c r="E20" i="140" s="1"/>
  <c r="P6" i="133"/>
  <c r="T5" i="133"/>
  <c r="T9" i="133" s="1"/>
  <c r="G7" i="133"/>
  <c r="Q6" i="133"/>
  <c r="I5" i="133"/>
  <c r="I9" i="133"/>
  <c r="U5" i="133"/>
  <c r="U9" i="133" s="1"/>
  <c r="T7" i="133"/>
  <c r="M7" i="133"/>
  <c r="T8" i="133"/>
  <c r="L6" i="133"/>
  <c r="S8" i="133"/>
  <c r="O5" i="133"/>
  <c r="O9" i="133" s="1"/>
  <c r="G8" i="133"/>
  <c r="D5" i="133"/>
  <c r="D9" i="133" s="1"/>
  <c r="L7" i="133"/>
  <c r="L9" i="133" s="1"/>
  <c r="O6" i="133"/>
  <c r="G16" i="143"/>
  <c r="R16" i="143"/>
  <c r="Q5" i="133"/>
  <c r="Q9" i="133" s="1"/>
  <c r="J8" i="133"/>
  <c r="M8" i="133"/>
  <c r="N5" i="133"/>
  <c r="N9" i="133" s="1"/>
  <c r="L5" i="140"/>
  <c r="C6" i="149"/>
  <c r="X5" i="143"/>
  <c r="Q8" i="133"/>
  <c r="E5" i="133"/>
  <c r="V8" i="133"/>
  <c r="E8" i="133"/>
  <c r="E9" i="133" s="1"/>
  <c r="V5" i="133"/>
  <c r="V9" i="133" s="1"/>
  <c r="Q7" i="133"/>
  <c r="V7" i="133"/>
  <c r="V6" i="133"/>
  <c r="N6" i="133"/>
  <c r="G15" i="143"/>
  <c r="D17" i="143"/>
  <c r="N20" i="140"/>
  <c r="N25" i="140"/>
  <c r="N21" i="140"/>
  <c r="D18" i="143"/>
  <c r="O18" i="140"/>
  <c r="D19" i="143"/>
  <c r="L8" i="140"/>
  <c r="C15" i="143" s="1"/>
  <c r="X12" i="143"/>
  <c r="L11" i="140"/>
  <c r="L24" i="140" s="1"/>
  <c r="B27" i="140" s="1"/>
  <c r="M10" i="140"/>
  <c r="M23" i="140" s="1"/>
  <c r="M6" i="140"/>
  <c r="M19" i="140" s="1"/>
  <c r="L7" i="140"/>
  <c r="L20" i="140" s="1"/>
  <c r="B20" i="140" s="1"/>
  <c r="D12" i="143"/>
  <c r="L9" i="140"/>
  <c r="D25" i="140" s="1"/>
  <c r="C25" i="140" s="1"/>
  <c r="L12" i="140"/>
  <c r="D28" i="140"/>
  <c r="C28" i="140" s="1"/>
  <c r="L6" i="140"/>
  <c r="L19" i="140" s="1"/>
  <c r="B19" i="140" s="1"/>
  <c r="V13" i="143"/>
  <c r="W13" i="143" s="1"/>
  <c r="M12" i="140"/>
  <c r="M25" i="140" s="1"/>
  <c r="N6" i="140"/>
  <c r="M5" i="140"/>
  <c r="M18" i="140" s="1"/>
  <c r="X19" i="143"/>
  <c r="M11" i="140"/>
  <c r="M24" i="140" s="1"/>
  <c r="M8" i="140"/>
  <c r="M21" i="140"/>
  <c r="M7" i="140"/>
  <c r="M20" i="140" s="1"/>
  <c r="E6" i="149"/>
  <c r="D24" i="140"/>
  <c r="C24" i="140"/>
  <c r="L25" i="140"/>
  <c r="B28" i="140" s="1"/>
  <c r="L21" i="140"/>
  <c r="B24" i="140" s="1"/>
  <c r="D16" i="143"/>
  <c r="X18" i="143"/>
  <c r="D15" i="143"/>
  <c r="X17" i="143"/>
  <c r="G14" i="143"/>
  <c r="R14" i="143" s="1"/>
  <c r="G18" i="143"/>
  <c r="R18" i="143"/>
  <c r="G12" i="143"/>
  <c r="R12" i="143" s="1"/>
  <c r="X14" i="143"/>
  <c r="C14" i="143"/>
  <c r="C19" i="143"/>
  <c r="V18" i="143"/>
  <c r="W18" i="143" s="1"/>
  <c r="M11" i="143"/>
  <c r="K11" i="143"/>
  <c r="V19" i="143"/>
  <c r="W19" i="143"/>
  <c r="C18" i="143"/>
  <c r="V15" i="143"/>
  <c r="B15" i="143" s="1"/>
  <c r="C13" i="143"/>
  <c r="B19" i="143"/>
  <c r="B13" i="143"/>
  <c r="H15" i="143"/>
  <c r="R15" i="143"/>
  <c r="C12" i="143"/>
  <c r="E21" i="140"/>
  <c r="L22" i="140"/>
  <c r="B25" i="140" s="1"/>
  <c r="D20" i="140"/>
  <c r="N5" i="140"/>
  <c r="N19" i="140"/>
  <c r="N8" i="140"/>
  <c r="L18" i="140"/>
  <c r="B18" i="140"/>
  <c r="N22" i="140"/>
  <c r="N9" i="140"/>
  <c r="N11" i="140"/>
  <c r="O23" i="140"/>
  <c r="V12" i="143"/>
  <c r="N7" i="140"/>
  <c r="N12" i="140"/>
  <c r="O22" i="140"/>
  <c r="N18" i="140"/>
  <c r="E22" i="140"/>
  <c r="J9" i="133"/>
  <c r="O24" i="140"/>
  <c r="D19" i="140"/>
  <c r="C19" i="140"/>
  <c r="V16" i="143"/>
  <c r="W16" i="143" s="1"/>
  <c r="N23" i="140"/>
  <c r="D18" i="140"/>
  <c r="C18" i="140" s="1"/>
  <c r="N24" i="140"/>
  <c r="O20" i="140"/>
  <c r="O21" i="140"/>
  <c r="B12" i="143"/>
  <c r="W12" i="143"/>
  <c r="L23" i="140" l="1"/>
  <c r="B26" i="140" s="1"/>
  <c r="D26" i="140"/>
  <c r="C26" i="140" s="1"/>
  <c r="C17" i="143"/>
  <c r="V17" i="143"/>
  <c r="W14" i="143"/>
  <c r="B14" i="143"/>
  <c r="M9" i="133"/>
  <c r="B16" i="143"/>
  <c r="D27" i="140"/>
  <c r="C27" i="140" s="1"/>
  <c r="X16" i="143"/>
  <c r="D6" i="149"/>
  <c r="X13" i="143"/>
  <c r="B18" i="143"/>
  <c r="W15" i="143"/>
  <c r="G9" i="133"/>
  <c r="O25" i="140"/>
  <c r="X15" i="143"/>
  <c r="V6" i="143"/>
  <c r="B8" i="149" s="1"/>
  <c r="C16" i="143"/>
  <c r="N10" i="140"/>
  <c r="B17" i="143" l="1"/>
  <c r="W17" i="143"/>
</calcChain>
</file>

<file path=xl/comments1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J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O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P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R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P15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Q15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R15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J16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comments2.xml><?xml version="1.0" encoding="utf-8"?>
<comments xmlns="http://schemas.openxmlformats.org/spreadsheetml/2006/main">
  <authors>
    <author>Gary Goldstein</author>
    <author>Amit Kanudia</author>
    <author>Maurizio Gargiulo</author>
  </authors>
  <commentList>
    <comment ref="T3" authorId="0" shapeId="0">
      <text>
        <r>
          <rPr>
            <sz val="8"/>
            <color indexed="81"/>
            <rFont val="Tahoma"/>
            <family val="2"/>
          </rPr>
          <t xml:space="preserve">Csets declarations are inherited until the next one is encountered.
Allowed Cset:
</t>
        </r>
        <r>
          <rPr>
            <b/>
            <sz val="8"/>
            <color indexed="81"/>
            <rFont val="Tahoma"/>
            <family val="2"/>
          </rPr>
          <t>NRG</t>
        </r>
        <r>
          <rPr>
            <sz val="8"/>
            <color indexed="81"/>
            <rFont val="Tahoma"/>
            <family val="2"/>
          </rPr>
          <t xml:space="preserve"> (Energy)
</t>
        </r>
        <r>
          <rPr>
            <b/>
            <sz val="8"/>
            <color indexed="81"/>
            <rFont val="Tahoma"/>
            <family val="2"/>
          </rPr>
          <t>ENV</t>
        </r>
        <r>
          <rPr>
            <sz val="8"/>
            <color indexed="81"/>
            <rFont val="Tahoma"/>
            <family val="2"/>
          </rPr>
          <t xml:space="preserve"> (Emission)
</t>
        </r>
        <r>
          <rPr>
            <b/>
            <sz val="8"/>
            <color indexed="81"/>
            <rFont val="Tahoma"/>
            <family val="2"/>
          </rPr>
          <t>DEM</t>
        </r>
        <r>
          <rPr>
            <sz val="8"/>
            <color indexed="81"/>
            <rFont val="Tahoma"/>
            <family val="2"/>
          </rPr>
          <t xml:space="preserve"> (Demand)
</t>
        </r>
        <r>
          <rPr>
            <b/>
            <sz val="8"/>
            <color indexed="81"/>
            <rFont val="Tahoma"/>
            <family val="2"/>
          </rPr>
          <t>MAT</t>
        </r>
        <r>
          <rPr>
            <sz val="8"/>
            <color indexed="81"/>
            <rFont val="Tahoma"/>
            <family val="2"/>
          </rPr>
          <t xml:space="preserve"> (Material)
</t>
        </r>
        <r>
          <rPr>
            <b/>
            <sz val="8"/>
            <color indexed="81"/>
            <rFont val="Tahoma"/>
            <family val="2"/>
          </rPr>
          <t>FIN</t>
        </r>
        <r>
          <rPr>
            <sz val="8"/>
            <color indexed="81"/>
            <rFont val="Tahoma"/>
            <family val="2"/>
          </rPr>
          <t xml:space="preserve"> (Financial)</t>
        </r>
      </text>
    </comment>
    <comment ref="Y3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LO for PRODUCTION &gt;= CONSUMPTION (Default)
FX for PRODUCTION = CONSUMPTION
UP for PRODUCTION &lt;= CONSUMPTION</t>
        </r>
      </text>
    </comment>
    <comment ref="Z3" authorId="2" shapeId="0">
      <text>
        <r>
          <rPr>
            <sz val="8"/>
            <color indexed="81"/>
            <rFont val="Tahoma"/>
            <family val="2"/>
          </rPr>
          <t>Allowed CTSLvl</t>
        </r>
        <r>
          <rPr>
            <b/>
            <sz val="8"/>
            <color indexed="81"/>
            <rFont val="Tahoma"/>
            <family val="2"/>
          </rPr>
          <t xml:space="preserve">
SEASON</t>
        </r>
        <r>
          <rPr>
            <sz val="8"/>
            <color indexed="81"/>
            <rFont val="Tahoma"/>
            <family val="2"/>
          </rPr>
          <t xml:space="preserve"> (Seasonal level)</t>
        </r>
        <r>
          <rPr>
            <b/>
            <sz val="8"/>
            <color indexed="81"/>
            <rFont val="Tahoma"/>
            <family val="2"/>
          </rPr>
          <t xml:space="preserve">
WEEKLY</t>
        </r>
        <r>
          <rPr>
            <sz val="8"/>
            <color indexed="81"/>
            <rFont val="Tahoma"/>
            <family val="2"/>
          </rPr>
          <t xml:space="preserve"> (Weekly level)</t>
        </r>
        <r>
          <rPr>
            <b/>
            <sz val="8"/>
            <color indexed="81"/>
            <rFont val="Tahoma"/>
            <family val="2"/>
          </rPr>
          <t xml:space="preserve">
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AA3" authorId="2" shapeId="0">
      <text>
        <r>
          <rPr>
            <sz val="8"/>
            <color indexed="81"/>
            <rFont val="Tahoma"/>
            <family val="2"/>
          </rPr>
          <t>Allowed PeakTS</t>
        </r>
        <r>
          <rPr>
            <b/>
            <sz val="8"/>
            <color indexed="81"/>
            <rFont val="Tahoma"/>
            <family val="2"/>
          </rPr>
          <t xml:space="preserve">
ANNUAL </t>
        </r>
        <r>
          <rPr>
            <sz val="8"/>
            <color indexed="81"/>
            <rFont val="Tahoma"/>
            <family val="2"/>
          </rPr>
          <t>(to generate Peak Equation for all the TimeSlices)</t>
        </r>
        <r>
          <rPr>
            <b/>
            <sz val="8"/>
            <color indexed="81"/>
            <rFont val="Tahoma"/>
            <family val="2"/>
          </rPr>
          <t xml:space="preserve">
User TS </t>
        </r>
        <r>
          <rPr>
            <sz val="8"/>
            <color indexed="81"/>
            <rFont val="Tahoma"/>
            <family val="2"/>
          </rPr>
          <t>(to generate Peak Equation for a single TS)</t>
        </r>
      </text>
    </comment>
    <comment ref="AB3" authorId="2" shapeId="0">
      <text>
        <r>
          <rPr>
            <sz val="8"/>
            <color indexed="81"/>
            <rFont val="Tahoma"/>
            <family val="2"/>
          </rPr>
          <t xml:space="preserve">Allowed Ctype
</t>
        </r>
        <r>
          <rPr>
            <b/>
            <sz val="8"/>
            <color indexed="81"/>
            <rFont val="Tahoma"/>
            <family val="2"/>
          </rPr>
          <t>ELC</t>
        </r>
        <r>
          <rPr>
            <sz val="8"/>
            <color indexed="81"/>
            <rFont val="Tahoma"/>
            <family val="2"/>
          </rPr>
          <t xml:space="preserve"> (Electricity)</t>
        </r>
      </text>
    </comment>
    <comment ref="Z9" authorId="2" shapeId="0">
      <text>
        <r>
          <rPr>
            <sz val="8"/>
            <color indexed="81"/>
            <rFont val="Tahoma"/>
            <family val="2"/>
          </rPr>
          <t xml:space="preserve">Allowed TsLvl
</t>
        </r>
        <r>
          <rPr>
            <b/>
            <sz val="8"/>
            <color indexed="81"/>
            <rFont val="Tahoma"/>
            <family val="2"/>
          </rPr>
          <t>ANNUAL</t>
        </r>
        <r>
          <rPr>
            <sz val="8"/>
            <color indexed="81"/>
            <rFont val="Tahoma"/>
            <family val="2"/>
          </rPr>
          <t xml:space="preserve"> (Annual level)
</t>
        </r>
        <r>
          <rPr>
            <b/>
            <sz val="8"/>
            <color indexed="81"/>
            <rFont val="Tahoma"/>
            <family val="2"/>
          </rPr>
          <t>SEASON</t>
        </r>
        <r>
          <rPr>
            <sz val="8"/>
            <color indexed="81"/>
            <rFont val="Tahoma"/>
            <family val="2"/>
          </rPr>
          <t xml:space="preserve"> (Seasonal level)
</t>
        </r>
        <r>
          <rPr>
            <b/>
            <sz val="8"/>
            <color indexed="81"/>
            <rFont val="Tahoma"/>
            <family val="2"/>
          </rPr>
          <t>WEEKLY</t>
        </r>
        <r>
          <rPr>
            <sz val="8"/>
            <color indexed="81"/>
            <rFont val="Tahoma"/>
            <family val="2"/>
          </rPr>
          <t xml:space="preserve"> (Weekly level)
</t>
        </r>
        <r>
          <rPr>
            <b/>
            <sz val="8"/>
            <color indexed="81"/>
            <rFont val="Tahoma"/>
            <family val="2"/>
          </rPr>
          <t>DAYNITE</t>
        </r>
        <r>
          <rPr>
            <sz val="8"/>
            <color indexed="81"/>
            <rFont val="Tahoma"/>
            <family val="2"/>
          </rPr>
          <t xml:space="preserve"> (day and night level)</t>
        </r>
      </text>
    </comment>
    <comment ref="AA9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Needed only when one wants to override the VEDA default assignment
</t>
        </r>
      </text>
    </comment>
    <comment ref="AB9" authorId="2" shapeId="0">
      <text>
        <r>
          <rPr>
            <sz val="8"/>
            <color indexed="81"/>
            <rFont val="Tahoma"/>
            <family val="2"/>
          </rPr>
          <t>Allowed Vintage</t>
        </r>
        <r>
          <rPr>
            <b/>
            <sz val="8"/>
            <color indexed="81"/>
            <rFont val="Tahoma"/>
            <family val="2"/>
          </rPr>
          <t xml:space="preserve">
NO</t>
        </r>
        <r>
          <rPr>
            <sz val="8"/>
            <color indexed="81"/>
            <rFont val="Tahoma"/>
            <family val="2"/>
          </rPr>
          <t xml:space="preserve"> (if empty by default mean </t>
        </r>
        <r>
          <rPr>
            <b/>
            <sz val="8"/>
            <color indexed="81"/>
            <rFont val="Tahoma"/>
            <family val="2"/>
          </rPr>
          <t>NO</t>
        </r>
        <r>
          <rPr>
            <sz val="8"/>
            <color indexed="81"/>
            <rFont val="Tahoma"/>
            <family val="2"/>
          </rPr>
          <t>)</t>
        </r>
        <r>
          <rPr>
            <b/>
            <sz val="8"/>
            <color indexed="81"/>
            <rFont val="Tahoma"/>
            <family val="2"/>
          </rPr>
          <t xml:space="preserve">
YES</t>
        </r>
      </text>
    </comment>
    <comment ref="T10" authorId="2" shapeId="0">
      <text>
        <r>
          <rPr>
            <sz val="8"/>
            <color indexed="81"/>
            <rFont val="Tahoma"/>
            <family val="2"/>
          </rPr>
          <t xml:space="preserve">Sets declarations are </t>
        </r>
        <r>
          <rPr>
            <sz val="8"/>
            <color indexed="81"/>
            <rFont val="Tahoma"/>
            <family val="2"/>
          </rPr>
          <t>inherited. 
Allowed Process Sets</t>
        </r>
        <r>
          <rPr>
            <b/>
            <sz val="8"/>
            <color indexed="81"/>
            <rFont val="Tahoma"/>
            <family val="2"/>
          </rPr>
          <t xml:space="preserve">
ELE </t>
        </r>
        <r>
          <rPr>
            <sz val="8"/>
            <color indexed="81"/>
            <rFont val="Tahoma"/>
            <family val="2"/>
          </rPr>
          <t>(Thermal Electric Power Plant)</t>
        </r>
        <r>
          <rPr>
            <b/>
            <sz val="8"/>
            <color indexed="81"/>
            <rFont val="Tahoma"/>
            <family val="2"/>
          </rPr>
          <t xml:space="preserve">
CHP </t>
        </r>
        <r>
          <rPr>
            <sz val="8"/>
            <color indexed="81"/>
            <rFont val="Tahoma"/>
            <family val="2"/>
          </rPr>
          <t>(Combined Heat and Power)</t>
        </r>
        <r>
          <rPr>
            <b/>
            <sz val="8"/>
            <color indexed="81"/>
            <rFont val="Tahoma"/>
            <family val="2"/>
          </rPr>
          <t xml:space="preserve">
STGTSS </t>
        </r>
        <r>
          <rPr>
            <sz val="8"/>
            <color indexed="81"/>
            <rFont val="Tahoma"/>
            <family val="2"/>
          </rPr>
          <t>(Pump Storage)</t>
        </r>
        <r>
          <rPr>
            <b/>
            <sz val="8"/>
            <color indexed="81"/>
            <rFont val="Tahoma"/>
            <family val="2"/>
          </rPr>
          <t xml:space="preserve">
STGIPS</t>
        </r>
        <r>
          <rPr>
            <sz val="8"/>
            <color indexed="81"/>
            <rFont val="Tahoma"/>
            <family val="2"/>
          </rPr>
          <t xml:space="preserve"> (Pump Storage IP)</t>
        </r>
        <r>
          <rPr>
            <b/>
            <sz val="8"/>
            <color indexed="81"/>
            <rFont val="Tahoma"/>
            <family val="2"/>
          </rPr>
          <t xml:space="preserve">
PRE </t>
        </r>
        <r>
          <rPr>
            <sz val="8"/>
            <color indexed="81"/>
            <rFont val="Tahoma"/>
            <family val="2"/>
          </rPr>
          <t>(Genric Process/Technology)</t>
        </r>
        <r>
          <rPr>
            <b/>
            <sz val="8"/>
            <color indexed="81"/>
            <rFont val="Tahoma"/>
            <family val="2"/>
          </rPr>
          <t xml:space="preserve">
DMD</t>
        </r>
        <r>
          <rPr>
            <sz val="8"/>
            <color indexed="81"/>
            <rFont val="Tahoma"/>
            <family val="2"/>
          </rPr>
          <t xml:space="preserve"> (Demand Device)</t>
        </r>
        <r>
          <rPr>
            <b/>
            <sz val="8"/>
            <color indexed="81"/>
            <rFont val="Tahoma"/>
            <family val="2"/>
          </rPr>
          <t xml:space="preserve">
IMP </t>
        </r>
        <r>
          <rPr>
            <sz val="8"/>
            <color indexed="81"/>
            <rFont val="Tahoma"/>
            <family val="2"/>
          </rPr>
          <t xml:space="preserve">(Import)
</t>
        </r>
        <r>
          <rPr>
            <b/>
            <sz val="8"/>
            <color indexed="81"/>
            <rFont val="Tahoma"/>
            <family val="2"/>
          </rPr>
          <t>EXP</t>
        </r>
        <r>
          <rPr>
            <sz val="8"/>
            <color indexed="81"/>
            <rFont val="Tahoma"/>
            <family val="2"/>
          </rPr>
          <t xml:space="preserve"> (Export)</t>
        </r>
        <r>
          <rPr>
            <b/>
            <sz val="8"/>
            <color indexed="81"/>
            <rFont val="Tahoma"/>
            <family val="2"/>
          </rPr>
          <t xml:space="preserve">
MIN </t>
        </r>
        <r>
          <rPr>
            <sz val="8"/>
            <color indexed="81"/>
            <rFont val="Tahoma"/>
            <family val="2"/>
          </rPr>
          <t>(Mining Process)</t>
        </r>
        <r>
          <rPr>
            <b/>
            <sz val="8"/>
            <color indexed="81"/>
            <rFont val="Tahoma"/>
            <family val="2"/>
          </rPr>
          <t xml:space="preserve">
RNW </t>
        </r>
        <r>
          <rPr>
            <sz val="8"/>
            <color indexed="81"/>
            <rFont val="Tahoma"/>
            <family val="2"/>
          </rPr>
          <t>(Renewable Technology)</t>
        </r>
        <r>
          <rPr>
            <b/>
            <sz val="8"/>
            <color indexed="81"/>
            <rFont val="Tahoma"/>
            <family val="2"/>
          </rPr>
          <t xml:space="preserve">
HPL</t>
        </r>
        <r>
          <rPr>
            <sz val="8"/>
            <color indexed="81"/>
            <rFont val="Tahoma"/>
            <family val="2"/>
          </rPr>
          <t xml:space="preserve"> (Heating Plant)</t>
        </r>
      </text>
    </comment>
  </commentList>
</comments>
</file>

<file path=xl/sharedStrings.xml><?xml version="1.0" encoding="utf-8"?>
<sst xmlns="http://schemas.openxmlformats.org/spreadsheetml/2006/main" count="249" uniqueCount="168">
  <si>
    <t>CommName</t>
  </si>
  <si>
    <t>TechName</t>
  </si>
  <si>
    <t>TechDesc</t>
  </si>
  <si>
    <t>CommDesc</t>
  </si>
  <si>
    <t>Unit</t>
  </si>
  <si>
    <t>Comm-IN</t>
  </si>
  <si>
    <t>Comm-OUT</t>
  </si>
  <si>
    <t>Csets</t>
  </si>
  <si>
    <t>LimType</t>
  </si>
  <si>
    <t>CTSLvl</t>
  </si>
  <si>
    <t>PeakTS</t>
  </si>
  <si>
    <t>Sets</t>
  </si>
  <si>
    <t>Ctype</t>
  </si>
  <si>
    <t>~FI_T</t>
  </si>
  <si>
    <t>~FI_Comm</t>
  </si>
  <si>
    <t>~FI_Process</t>
  </si>
  <si>
    <t>Tact</t>
  </si>
  <si>
    <t>Tcap</t>
  </si>
  <si>
    <t>Tslvl</t>
  </si>
  <si>
    <t>PrimaryCG</t>
  </si>
  <si>
    <t>Vintage</t>
  </si>
  <si>
    <t>Technology Name</t>
  </si>
  <si>
    <t>Technology Description</t>
  </si>
  <si>
    <t>Activity Unit</t>
  </si>
  <si>
    <t>Capacity Unit</t>
  </si>
  <si>
    <t>Vintage Tracking</t>
  </si>
  <si>
    <t>Commodity Name</t>
  </si>
  <si>
    <t>Commodity Description</t>
  </si>
  <si>
    <t>Peak Monitoring</t>
  </si>
  <si>
    <t>Electricity Indicator</t>
  </si>
  <si>
    <t>Region</t>
  </si>
  <si>
    <t>Region Name</t>
  </si>
  <si>
    <t>Input Commodity</t>
  </si>
  <si>
    <t>Output Commodity</t>
  </si>
  <si>
    <t>Existing Installed Capacity</t>
  </si>
  <si>
    <t>*Commodity Set Membership</t>
  </si>
  <si>
    <t>*Process Set Membership</t>
  </si>
  <si>
    <t>*Technology Name</t>
  </si>
  <si>
    <t>Sense of the Balance EQN.</t>
  </si>
  <si>
    <t>Timeslice Level</t>
  </si>
  <si>
    <t>Primary Commodity Group</t>
  </si>
  <si>
    <t>TimeSlice level of Process Activity</t>
  </si>
  <si>
    <t>COA</t>
  </si>
  <si>
    <t>GAS</t>
  </si>
  <si>
    <t>OIL</t>
  </si>
  <si>
    <t>NUC</t>
  </si>
  <si>
    <t>SLU</t>
  </si>
  <si>
    <t>HET</t>
  </si>
  <si>
    <t>ELC</t>
  </si>
  <si>
    <t>Solid Fuels</t>
  </si>
  <si>
    <t>Natural Gas</t>
  </si>
  <si>
    <t>Nuclear Energy</t>
  </si>
  <si>
    <t>Industrial Wastes</t>
  </si>
  <si>
    <t>Derived Heat</t>
  </si>
  <si>
    <t>Total</t>
  </si>
  <si>
    <t>CONVERSION</t>
  </si>
  <si>
    <t>ESC</t>
  </si>
  <si>
    <t>Energy Sector Consumption</t>
  </si>
  <si>
    <t>Electricity Plants</t>
  </si>
  <si>
    <t>HPL</t>
  </si>
  <si>
    <t>Heat Plants</t>
  </si>
  <si>
    <t>REF</t>
  </si>
  <si>
    <t>Petroleum Refineries</t>
  </si>
  <si>
    <t>Total Conversion</t>
  </si>
  <si>
    <t>NRG</t>
  </si>
  <si>
    <t>Sector Name</t>
  </si>
  <si>
    <t>Commodity</t>
  </si>
  <si>
    <t>Description</t>
  </si>
  <si>
    <t>PJ</t>
  </si>
  <si>
    <t>Currency Unit</t>
  </si>
  <si>
    <t>LIFE</t>
  </si>
  <si>
    <t>*</t>
  </si>
  <si>
    <t>FIXOM</t>
  </si>
  <si>
    <t>EFF</t>
  </si>
  <si>
    <t>Electricity</t>
  </si>
  <si>
    <t>Efficiency</t>
  </si>
  <si>
    <t>*Units</t>
  </si>
  <si>
    <t>Years</t>
  </si>
  <si>
    <t>Default Units</t>
  </si>
  <si>
    <t>Currency</t>
  </si>
  <si>
    <t>Activity</t>
  </si>
  <si>
    <t>Fixed O&amp;M Cost</t>
  </si>
  <si>
    <t>AFA</t>
  </si>
  <si>
    <t>Utilisation Factor</t>
  </si>
  <si>
    <t>Existing</t>
  </si>
  <si>
    <t>E</t>
  </si>
  <si>
    <t>N</t>
  </si>
  <si>
    <t>Emissions</t>
  </si>
  <si>
    <t>kt</t>
  </si>
  <si>
    <t>ENV</t>
  </si>
  <si>
    <t>CO2</t>
  </si>
  <si>
    <t>Nox</t>
  </si>
  <si>
    <t>VOC</t>
  </si>
  <si>
    <t>Carbon dioxide</t>
  </si>
  <si>
    <t>NOX</t>
  </si>
  <si>
    <t>Sector Fuel</t>
  </si>
  <si>
    <t>PRE</t>
  </si>
  <si>
    <t>Deafult unit</t>
  </si>
  <si>
    <t>Type</t>
  </si>
  <si>
    <t>Emission by sector</t>
  </si>
  <si>
    <t>Capacity unit</t>
  </si>
  <si>
    <t>Power Plants</t>
  </si>
  <si>
    <t>GW</t>
  </si>
  <si>
    <t>ELE</t>
  </si>
  <si>
    <t>VAROM</t>
  </si>
  <si>
    <t>Total Production</t>
  </si>
  <si>
    <t>Variable O&amp;M Cost</t>
  </si>
  <si>
    <t>Capacity to Activity Factor</t>
  </si>
  <si>
    <t>Power Plant Type</t>
  </si>
  <si>
    <t>CHP</t>
  </si>
  <si>
    <t>Renewable</t>
  </si>
  <si>
    <t>R</t>
  </si>
  <si>
    <t>C</t>
  </si>
  <si>
    <t>T</t>
  </si>
  <si>
    <t>Code</t>
  </si>
  <si>
    <t>Thermal</t>
  </si>
  <si>
    <t>CALIBRATION</t>
  </si>
  <si>
    <t>DAYNITE</t>
  </si>
  <si>
    <t>SEASON</t>
  </si>
  <si>
    <t>Peak</t>
  </si>
  <si>
    <t>% contribution to PEAK</t>
  </si>
  <si>
    <t>Retirement Capacity</t>
  </si>
  <si>
    <t>REG1</t>
  </si>
  <si>
    <t>Nuclear</t>
  </si>
  <si>
    <t>STOCK</t>
  </si>
  <si>
    <t>Crude oil</t>
  </si>
  <si>
    <t>DSL</t>
  </si>
  <si>
    <t>KER</t>
  </si>
  <si>
    <t>LPG</t>
  </si>
  <si>
    <t>GSL</t>
  </si>
  <si>
    <t>NAP</t>
  </si>
  <si>
    <t>HFO</t>
  </si>
  <si>
    <t>OPP</t>
  </si>
  <si>
    <t>Heavy Fuel Oil</t>
  </si>
  <si>
    <t>Other Petroleum Products</t>
  </si>
  <si>
    <t>Kerosenes</t>
  </si>
  <si>
    <t>Motor spirit</t>
  </si>
  <si>
    <t>Naphtha</t>
  </si>
  <si>
    <t>Diesel oil</t>
  </si>
  <si>
    <t>~COMEMI</t>
  </si>
  <si>
    <t>Input Share</t>
  </si>
  <si>
    <t>Share-I~UP</t>
  </si>
  <si>
    <t>M€2005</t>
  </si>
  <si>
    <t>Data used in the template to buld the model</t>
  </si>
  <si>
    <t>kt/PJ</t>
  </si>
  <si>
    <t>User inputs</t>
  </si>
  <si>
    <t>Linked to the Energy Balance</t>
  </si>
  <si>
    <t>Reference Energy System (from VEDA-FE Go-To RES feature)</t>
  </si>
  <si>
    <t>Conversion (Power Sector)</t>
  </si>
  <si>
    <t>STOCK~2030</t>
  </si>
  <si>
    <t>ELC template</t>
  </si>
  <si>
    <t>Dynamic coefficients for combustion emissions in power sector</t>
  </si>
  <si>
    <t>TOT</t>
  </si>
  <si>
    <t>HYD</t>
  </si>
  <si>
    <t>Hydro power</t>
  </si>
  <si>
    <t>Wind energy</t>
  </si>
  <si>
    <t>Solar energy</t>
  </si>
  <si>
    <t>BIO</t>
  </si>
  <si>
    <t>WIN</t>
  </si>
  <si>
    <t>SOL</t>
  </si>
  <si>
    <t>Biomass</t>
  </si>
  <si>
    <t>Lifetime</t>
  </si>
  <si>
    <t>CAP2ACT</t>
  </si>
  <si>
    <t>INVCOST</t>
  </si>
  <si>
    <t>Invesctment Cost</t>
  </si>
  <si>
    <t>PASTI~1960</t>
  </si>
  <si>
    <t>PASTI~1980</t>
  </si>
  <si>
    <t>Past Investment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</si>
</sst>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1" formatCode="_-* #,##0.00_-;\-* #,##0.00_-;_-* &quot;-&quot;??_-;_-@_-"/>
    <numFmt numFmtId="178" formatCode="0.000"/>
    <numFmt numFmtId="179" formatCode="General_)"/>
    <numFmt numFmtId="180" formatCode="0.0"/>
    <numFmt numFmtId="182" formatCode="0.0000"/>
    <numFmt numFmtId="187" formatCode="\Te\x\t"/>
  </numFmts>
  <fonts count="34" x14ac:knownFonts="1">
    <font>
      <sz val="10"/>
      <name val="Arial"/>
    </font>
    <font>
      <sz val="10"/>
      <name val="Arial"/>
    </font>
    <font>
      <sz val="10"/>
      <name val="Courier"/>
      <family val="3"/>
    </font>
    <font>
      <b/>
      <sz val="10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9"/>
      <name val="Arial"/>
      <family val="2"/>
    </font>
    <font>
      <sz val="9"/>
      <name val="Arial"/>
      <family val="2"/>
    </font>
    <font>
      <sz val="14"/>
      <color indexed="9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/>
      <name val="Arial"/>
      <family val="2"/>
    </font>
    <font>
      <b/>
      <sz val="10"/>
      <color rgb="FFFF0000"/>
      <name val="Arial"/>
      <family val="2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Arial"/>
      <family val="2"/>
    </font>
    <font>
      <b/>
      <sz val="8"/>
      <color theme="1"/>
      <name val="Arial"/>
      <family val="2"/>
    </font>
    <font>
      <b/>
      <sz val="10"/>
      <color theme="9" tint="-0.249977111117893"/>
      <name val="Arial"/>
      <family val="2"/>
    </font>
    <font>
      <sz val="18"/>
      <color theme="0"/>
      <name val="Calibri"/>
      <family val="2"/>
      <scheme val="minor"/>
    </font>
    <font>
      <b/>
      <sz val="14"/>
      <color rgb="FFFF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</borders>
  <cellStyleXfs count="30">
    <xf numFmtId="0" fontId="0" fillId="0" borderId="0"/>
    <xf numFmtId="0" fontId="18" fillId="4" borderId="0" applyNumberFormat="0" applyBorder="0" applyAlignment="0" applyProtection="0"/>
    <xf numFmtId="0" fontId="18" fillId="5" borderId="0" applyNumberFormat="0" applyBorder="0" applyAlignment="0" applyProtection="0"/>
    <xf numFmtId="0" fontId="19" fillId="6" borderId="0" applyNumberFormat="0" applyBorder="0" applyAlignment="0" applyProtection="0"/>
    <xf numFmtId="0" fontId="20" fillId="7" borderId="16" applyNumberFormat="0" applyAlignment="0" applyProtection="0"/>
    <xf numFmtId="171" fontId="18" fillId="0" borderId="0" applyFont="0" applyFill="0" applyBorder="0" applyAlignment="0" applyProtection="0"/>
    <xf numFmtId="0" fontId="21" fillId="8" borderId="0" applyNumberFormat="0" applyBorder="0" applyAlignment="0" applyProtection="0"/>
    <xf numFmtId="0" fontId="22" fillId="9" borderId="16" applyNumberFormat="0" applyAlignment="0" applyProtection="0"/>
    <xf numFmtId="0" fontId="23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18" fillId="0" borderId="0"/>
    <xf numFmtId="0" fontId="4" fillId="0" borderId="0"/>
    <xf numFmtId="0" fontId="2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5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4" fillId="0" borderId="0"/>
  </cellStyleXfs>
  <cellXfs count="122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0" xfId="11" applyFill="1" applyBorder="1" applyAlignment="1">
      <alignment horizontal="right"/>
    </xf>
    <xf numFmtId="0" fontId="5" fillId="0" borderId="0" xfId="11" applyFont="1" applyFill="1" applyAlignment="1">
      <alignment horizontal="left"/>
    </xf>
    <xf numFmtId="0" fontId="4" fillId="0" borderId="0" xfId="11" applyFill="1" applyBorder="1" applyAlignment="1">
      <alignment horizontal="left"/>
    </xf>
    <xf numFmtId="0" fontId="0" fillId="0" borderId="0" xfId="0" applyFill="1"/>
    <xf numFmtId="0" fontId="0" fillId="0" borderId="0" xfId="0" applyBorder="1" applyAlignment="1"/>
    <xf numFmtId="0" fontId="0" fillId="0" borderId="0" xfId="0" applyBorder="1"/>
    <xf numFmtId="0" fontId="0" fillId="0" borderId="1" xfId="0" applyBorder="1" applyAlignment="1"/>
    <xf numFmtId="1" fontId="0" fillId="0" borderId="0" xfId="0" applyNumberFormat="1"/>
    <xf numFmtId="0" fontId="4" fillId="0" borderId="0" xfId="0" applyFont="1" applyFill="1"/>
    <xf numFmtId="0" fontId="19" fillId="6" borderId="0" xfId="3"/>
    <xf numFmtId="0" fontId="24" fillId="0" borderId="0" xfId="6" applyFont="1" applyFill="1"/>
    <xf numFmtId="0" fontId="24" fillId="11" borderId="0" xfId="6" applyFont="1" applyFill="1"/>
    <xf numFmtId="0" fontId="4" fillId="0" borderId="0" xfId="8" applyFont="1" applyFill="1"/>
    <xf numFmtId="1" fontId="4" fillId="0" borderId="0" xfId="0" applyNumberFormat="1" applyFont="1" applyFill="1"/>
    <xf numFmtId="0" fontId="25" fillId="4" borderId="2" xfId="1" applyFont="1" applyBorder="1" applyAlignment="1">
      <alignment horizontal="center" wrapText="1"/>
    </xf>
    <xf numFmtId="0" fontId="25" fillId="4" borderId="2" xfId="1" applyFont="1" applyBorder="1" applyAlignment="1">
      <alignment horizontal="left" wrapText="1"/>
    </xf>
    <xf numFmtId="0" fontId="25" fillId="4" borderId="3" xfId="1" applyFont="1" applyBorder="1" applyAlignment="1">
      <alignment horizontal="left" wrapText="1"/>
    </xf>
    <xf numFmtId="0" fontId="3" fillId="2" borderId="3" xfId="11" applyFont="1" applyFill="1" applyBorder="1" applyAlignment="1">
      <alignment horizontal="left" vertical="center"/>
    </xf>
    <xf numFmtId="0" fontId="3" fillId="2" borderId="3" xfId="11" applyFont="1" applyFill="1" applyBorder="1" applyAlignment="1">
      <alignment horizontal="left" vertical="center" wrapText="1"/>
    </xf>
    <xf numFmtId="0" fontId="24" fillId="11" borderId="0" xfId="6" applyFont="1" applyFill="1" applyAlignment="1">
      <alignment wrapText="1"/>
    </xf>
    <xf numFmtId="0" fontId="26" fillId="0" borderId="0" xfId="0" applyFont="1"/>
    <xf numFmtId="0" fontId="19" fillId="6" borderId="0" xfId="3" applyAlignment="1">
      <alignment wrapText="1"/>
    </xf>
    <xf numFmtId="0" fontId="4" fillId="0" borderId="0" xfId="9"/>
    <xf numFmtId="0" fontId="4" fillId="0" borderId="0" xfId="9" applyFill="1"/>
    <xf numFmtId="0" fontId="4" fillId="0" borderId="0" xfId="9" applyFill="1" applyBorder="1"/>
    <xf numFmtId="0" fontId="4" fillId="0" borderId="0" xfId="9" applyBorder="1"/>
    <xf numFmtId="0" fontId="4" fillId="0" borderId="0" xfId="9" applyFill="1" applyBorder="1" applyAlignment="1">
      <alignment wrapText="1"/>
    </xf>
    <xf numFmtId="0" fontId="3" fillId="0" borderId="0" xfId="11" applyFont="1" applyFill="1" applyBorder="1" applyAlignment="1">
      <alignment horizontal="right" vertical="center" wrapText="1"/>
    </xf>
    <xf numFmtId="0" fontId="0" fillId="0" borderId="0" xfId="0" applyFill="1" applyBorder="1"/>
    <xf numFmtId="0" fontId="27" fillId="0" borderId="0" xfId="6" applyFont="1" applyFill="1"/>
    <xf numFmtId="0" fontId="28" fillId="0" borderId="0" xfId="3" applyFont="1" applyFill="1" applyAlignment="1">
      <alignment wrapText="1"/>
    </xf>
    <xf numFmtId="1" fontId="29" fillId="12" borderId="0" xfId="2" applyNumberFormat="1" applyFont="1" applyFill="1" applyBorder="1" applyAlignment="1">
      <alignment horizontal="right" wrapText="1"/>
    </xf>
    <xf numFmtId="0" fontId="30" fillId="0" borderId="0" xfId="2" applyFont="1" applyFill="1" applyBorder="1" applyAlignment="1">
      <alignment horizontal="right" wrapText="1"/>
    </xf>
    <xf numFmtId="0" fontId="25" fillId="0" borderId="0" xfId="2" applyFont="1" applyFill="1" applyBorder="1" applyAlignment="1">
      <alignment horizontal="right" wrapText="1"/>
    </xf>
    <xf numFmtId="1" fontId="29" fillId="0" borderId="0" xfId="2" applyNumberFormat="1" applyFont="1" applyFill="1" applyBorder="1" applyAlignment="1">
      <alignment horizontal="right" wrapText="1"/>
    </xf>
    <xf numFmtId="0" fontId="25" fillId="5" borderId="4" xfId="2" applyFont="1" applyBorder="1" applyAlignment="1">
      <alignment wrapText="1"/>
    </xf>
    <xf numFmtId="0" fontId="19" fillId="0" borderId="0" xfId="3" applyFill="1"/>
    <xf numFmtId="0" fontId="5" fillId="0" borderId="0" xfId="0" applyFont="1" applyFill="1" applyAlignment="1">
      <alignment horizontal="left"/>
    </xf>
    <xf numFmtId="0" fontId="14" fillId="0" borderId="0" xfId="0" applyFont="1" applyFill="1"/>
    <xf numFmtId="0" fontId="14" fillId="3" borderId="0" xfId="0" quotePrefix="1" applyFont="1" applyFill="1" applyBorder="1" applyAlignment="1"/>
    <xf numFmtId="0" fontId="14" fillId="0" borderId="0" xfId="0" quotePrefix="1" applyFont="1" applyFill="1" applyBorder="1" applyAlignment="1"/>
    <xf numFmtId="0" fontId="3" fillId="0" borderId="0" xfId="11" applyFont="1" applyFill="1" applyBorder="1" applyAlignment="1">
      <alignment horizontal="left" vertical="center"/>
    </xf>
    <xf numFmtId="0" fontId="3" fillId="2" borderId="2" xfId="11" applyFont="1" applyFill="1" applyBorder="1" applyAlignment="1">
      <alignment horizontal="left" vertical="center"/>
    </xf>
    <xf numFmtId="0" fontId="31" fillId="0" borderId="0" xfId="0" applyFont="1" applyFill="1"/>
    <xf numFmtId="0" fontId="24" fillId="11" borderId="0" xfId="6" applyFont="1" applyFill="1" applyAlignment="1">
      <alignment horizontal="left"/>
    </xf>
    <xf numFmtId="0" fontId="31" fillId="13" borderId="1" xfId="0" applyFont="1" applyFill="1" applyBorder="1" applyAlignment="1">
      <alignment wrapText="1"/>
    </xf>
    <xf numFmtId="0" fontId="3" fillId="13" borderId="1" xfId="0" applyFont="1" applyFill="1" applyBorder="1" applyAlignment="1">
      <alignment wrapText="1"/>
    </xf>
    <xf numFmtId="0" fontId="31" fillId="13" borderId="0" xfId="0" applyFont="1" applyFill="1"/>
    <xf numFmtId="1" fontId="0" fillId="14" borderId="0" xfId="0" applyNumberFormat="1" applyFill="1" applyBorder="1" applyAlignment="1"/>
    <xf numFmtId="0" fontId="0" fillId="14" borderId="0" xfId="0" applyFill="1"/>
    <xf numFmtId="1" fontId="22" fillId="9" borderId="0" xfId="7" applyNumberFormat="1" applyBorder="1" applyAlignment="1"/>
    <xf numFmtId="1" fontId="22" fillId="9" borderId="5" xfId="7" applyNumberFormat="1" applyBorder="1" applyAlignment="1"/>
    <xf numFmtId="179" fontId="20" fillId="7" borderId="6" xfId="4" applyNumberFormat="1" applyBorder="1" applyAlignment="1">
      <alignment horizontal="right" vertical="center"/>
    </xf>
    <xf numFmtId="1" fontId="20" fillId="7" borderId="17" xfId="4" applyNumberFormat="1" applyBorder="1" applyAlignment="1">
      <alignment horizontal="right"/>
    </xf>
    <xf numFmtId="1" fontId="20" fillId="7" borderId="18" xfId="4" applyNumberFormat="1" applyBorder="1" applyAlignment="1">
      <alignment horizontal="right"/>
    </xf>
    <xf numFmtId="1" fontId="20" fillId="7" borderId="19" xfId="4" applyNumberFormat="1" applyBorder="1" applyAlignment="1">
      <alignment horizontal="right"/>
    </xf>
    <xf numFmtId="179" fontId="13" fillId="14" borderId="7" xfId="0" applyNumberFormat="1" applyFont="1" applyFill="1" applyBorder="1" applyAlignment="1">
      <alignment horizontal="left" vertical="center"/>
    </xf>
    <xf numFmtId="179" fontId="13" fillId="14" borderId="8" xfId="0" applyNumberFormat="1" applyFont="1" applyFill="1" applyBorder="1" applyAlignment="1">
      <alignment horizontal="left" vertical="center"/>
    </xf>
    <xf numFmtId="0" fontId="3" fillId="13" borderId="9" xfId="0" applyFont="1" applyFill="1" applyBorder="1" applyAlignment="1">
      <alignment wrapText="1"/>
    </xf>
    <xf numFmtId="0" fontId="3" fillId="13" borderId="6" xfId="0" applyFont="1" applyFill="1" applyBorder="1" applyAlignment="1">
      <alignment wrapText="1"/>
    </xf>
    <xf numFmtId="179" fontId="13" fillId="15" borderId="10" xfId="0" applyNumberFormat="1" applyFont="1" applyFill="1" applyBorder="1" applyAlignment="1">
      <alignment horizontal="center" vertical="center"/>
    </xf>
    <xf numFmtId="0" fontId="31" fillId="13" borderId="9" xfId="0" applyFont="1" applyFill="1" applyBorder="1" applyAlignment="1">
      <alignment wrapText="1"/>
    </xf>
    <xf numFmtId="0" fontId="31" fillId="13" borderId="11" xfId="0" applyFont="1" applyFill="1" applyBorder="1" applyAlignment="1">
      <alignment wrapText="1"/>
    </xf>
    <xf numFmtId="0" fontId="31" fillId="13" borderId="6" xfId="0" applyFont="1" applyFill="1" applyBorder="1" applyAlignment="1">
      <alignment wrapText="1"/>
    </xf>
    <xf numFmtId="0" fontId="32" fillId="6" borderId="1" xfId="3" applyFont="1" applyBorder="1" applyAlignment="1">
      <alignment horizontal="left" vertical="center"/>
    </xf>
    <xf numFmtId="0" fontId="0" fillId="16" borderId="0" xfId="0" applyFill="1"/>
    <xf numFmtId="180" fontId="0" fillId="16" borderId="0" xfId="0" applyNumberFormat="1" applyFill="1"/>
    <xf numFmtId="9" fontId="4" fillId="16" borderId="0" xfId="16" applyFont="1" applyFill="1"/>
    <xf numFmtId="2" fontId="4" fillId="14" borderId="0" xfId="8" applyNumberFormat="1" applyFont="1" applyFill="1"/>
    <xf numFmtId="0" fontId="4" fillId="14" borderId="0" xfId="8" applyFont="1" applyFill="1"/>
    <xf numFmtId="2" fontId="0" fillId="14" borderId="0" xfId="0" applyNumberFormat="1" applyFill="1" applyBorder="1"/>
    <xf numFmtId="1" fontId="0" fillId="14" borderId="0" xfId="0" applyNumberFormat="1" applyFill="1" applyBorder="1"/>
    <xf numFmtId="0" fontId="4" fillId="14" borderId="0" xfId="9" applyFill="1"/>
    <xf numFmtId="2" fontId="4" fillId="14" borderId="0" xfId="9" applyNumberFormat="1" applyFill="1"/>
    <xf numFmtId="2" fontId="4" fillId="0" borderId="0" xfId="8" applyNumberFormat="1" applyFont="1" applyFill="1"/>
    <xf numFmtId="0" fontId="33" fillId="0" borderId="0" xfId="0" applyFont="1"/>
    <xf numFmtId="0" fontId="3" fillId="17" borderId="0" xfId="0" applyFont="1" applyFill="1"/>
    <xf numFmtId="0" fontId="3" fillId="2" borderId="3" xfId="11" applyFont="1" applyFill="1" applyBorder="1" applyAlignment="1">
      <alignment horizontal="center" vertical="center" wrapText="1"/>
    </xf>
    <xf numFmtId="0" fontId="25" fillId="4" borderId="12" xfId="1" applyFont="1" applyBorder="1" applyAlignment="1">
      <alignment horizontal="center" wrapText="1"/>
    </xf>
    <xf numFmtId="0" fontId="3" fillId="2" borderId="3" xfId="12" applyFont="1" applyFill="1" applyBorder="1" applyAlignment="1">
      <alignment horizontal="center" vertical="center" wrapText="1"/>
    </xf>
    <xf numFmtId="179" fontId="12" fillId="0" borderId="13" xfId="0" applyNumberFormat="1" applyFont="1" applyBorder="1" applyAlignment="1">
      <alignment horizontal="left" vertical="center"/>
    </xf>
    <xf numFmtId="0" fontId="3" fillId="0" borderId="14" xfId="0" applyFont="1" applyBorder="1" applyAlignment="1"/>
    <xf numFmtId="1" fontId="3" fillId="14" borderId="15" xfId="0" applyNumberFormat="1" applyFont="1" applyFill="1" applyBorder="1" applyAlignment="1"/>
    <xf numFmtId="0" fontId="25" fillId="4" borderId="4" xfId="1" applyFont="1" applyBorder="1" applyAlignment="1">
      <alignment horizontal="left" wrapText="1"/>
    </xf>
    <xf numFmtId="0" fontId="0" fillId="17" borderId="0" xfId="0" applyFill="1"/>
    <xf numFmtId="0" fontId="25" fillId="0" borderId="0" xfId="1" applyFont="1" applyFill="1" applyBorder="1" applyAlignment="1">
      <alignment horizontal="left" wrapText="1"/>
    </xf>
    <xf numFmtId="2" fontId="0" fillId="0" borderId="0" xfId="0" applyNumberFormat="1" applyFill="1" applyBorder="1"/>
    <xf numFmtId="179" fontId="13" fillId="15" borderId="13" xfId="0" applyNumberFormat="1" applyFont="1" applyFill="1" applyBorder="1" applyAlignment="1">
      <alignment horizontal="center" vertical="center"/>
    </xf>
    <xf numFmtId="179" fontId="13" fillId="15" borderId="14" xfId="0" applyNumberFormat="1" applyFont="1" applyFill="1" applyBorder="1" applyAlignment="1">
      <alignment horizontal="center" vertical="center"/>
    </xf>
    <xf numFmtId="180" fontId="0" fillId="16" borderId="0" xfId="0" applyNumberFormat="1" applyFill="1" applyBorder="1"/>
    <xf numFmtId="0" fontId="4" fillId="14" borderId="0" xfId="9" applyFill="1" applyBorder="1"/>
    <xf numFmtId="2" fontId="4" fillId="14" borderId="0" xfId="9" applyNumberFormat="1" applyFill="1" applyBorder="1"/>
    <xf numFmtId="1" fontId="22" fillId="0" borderId="0" xfId="7" applyNumberFormat="1" applyFill="1" applyBorder="1" applyAlignment="1"/>
    <xf numFmtId="178" fontId="0" fillId="0" borderId="0" xfId="0" applyNumberFormat="1"/>
    <xf numFmtId="1" fontId="4" fillId="0" borderId="0" xfId="9" applyNumberFormat="1"/>
    <xf numFmtId="1" fontId="0" fillId="16" borderId="0" xfId="0" applyNumberFormat="1" applyFill="1"/>
    <xf numFmtId="1" fontId="0" fillId="16" borderId="0" xfId="0" applyNumberFormat="1" applyFill="1" applyBorder="1"/>
    <xf numFmtId="1" fontId="25" fillId="0" borderId="0" xfId="2" applyNumberFormat="1" applyFont="1" applyFill="1" applyBorder="1" applyAlignment="1">
      <alignment horizontal="right" wrapText="1"/>
    </xf>
    <xf numFmtId="0" fontId="30" fillId="5" borderId="4" xfId="2" applyFont="1" applyBorder="1" applyAlignment="1">
      <alignment horizontal="center" wrapText="1"/>
    </xf>
    <xf numFmtId="0" fontId="25" fillId="12" borderId="2" xfId="2" applyFont="1" applyFill="1" applyBorder="1" applyAlignment="1">
      <alignment horizontal="center" wrapText="1"/>
    </xf>
    <xf numFmtId="182" fontId="0" fillId="0" borderId="0" xfId="0" applyNumberFormat="1" applyFill="1" applyBorder="1"/>
    <xf numFmtId="180" fontId="0" fillId="0" borderId="0" xfId="0" applyNumberFormat="1" applyFill="1" applyBorder="1"/>
    <xf numFmtId="0" fontId="25" fillId="4" borderId="2" xfId="1" applyFont="1" applyBorder="1" applyAlignment="1">
      <alignment horizontal="center" wrapText="1"/>
    </xf>
    <xf numFmtId="187" fontId="5" fillId="0" borderId="0" xfId="0" applyNumberFormat="1" applyFont="1"/>
    <xf numFmtId="187" fontId="4" fillId="0" borderId="0" xfId="0" applyNumberFormat="1" applyFont="1"/>
    <xf numFmtId="187" fontId="3" fillId="2" borderId="3" xfId="0" applyNumberFormat="1" applyFont="1" applyFill="1" applyBorder="1" applyAlignment="1">
      <alignment horizontal="left"/>
    </xf>
    <xf numFmtId="187" fontId="3" fillId="2" borderId="4" xfId="0" applyNumberFormat="1" applyFont="1" applyFill="1" applyBorder="1" applyAlignment="1">
      <alignment horizontal="left"/>
    </xf>
    <xf numFmtId="187" fontId="25" fillId="4" borderId="2" xfId="1" applyNumberFormat="1" applyFont="1" applyBorder="1" applyAlignment="1">
      <alignment horizontal="left" wrapText="1"/>
    </xf>
    <xf numFmtId="187" fontId="0" fillId="0" borderId="0" xfId="0" applyNumberFormat="1" applyFill="1"/>
    <xf numFmtId="187" fontId="0" fillId="0" borderId="0" xfId="0" applyNumberFormat="1" applyFill="1" applyAlignment="1">
      <alignment wrapText="1"/>
    </xf>
    <xf numFmtId="187" fontId="0" fillId="0" borderId="0" xfId="0" applyNumberFormat="1"/>
    <xf numFmtId="187" fontId="25" fillId="4" borderId="2" xfId="1" applyNumberFormat="1" applyFont="1" applyBorder="1" applyAlignment="1">
      <alignment horizontal="center" wrapText="1"/>
    </xf>
    <xf numFmtId="187" fontId="4" fillId="0" borderId="0" xfId="0" applyNumberFormat="1" applyFont="1" applyFill="1"/>
    <xf numFmtId="187" fontId="4" fillId="0" borderId="0" xfId="9" applyNumberFormat="1"/>
    <xf numFmtId="187" fontId="0" fillId="0" borderId="0" xfId="0" applyNumberFormat="1" applyFill="1" applyBorder="1"/>
    <xf numFmtId="187" fontId="0" fillId="0" borderId="0" xfId="0" applyNumberFormat="1" applyFill="1" applyAlignment="1"/>
    <xf numFmtId="0" fontId="16" fillId="0" borderId="9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1" xfId="0" applyFont="1" applyBorder="1" applyAlignment="1">
      <alignment horizontal="center"/>
    </xf>
  </cellXfs>
  <cellStyles count="30">
    <cellStyle name="20% - Accent5" xfId="1" builtinId="46"/>
    <cellStyle name="40% - Accent3" xfId="2" builtinId="39"/>
    <cellStyle name="Accent2" xfId="3" builtinId="33"/>
    <cellStyle name="Calculation" xfId="4" builtinId="22"/>
    <cellStyle name="Comma 2" xfId="5"/>
    <cellStyle name="Good" xfId="6" builtinId="26"/>
    <cellStyle name="Input" xfId="7" builtinId="20"/>
    <cellStyle name="Neutral" xfId="8" builtinId="28"/>
    <cellStyle name="Normal" xfId="0" builtinId="0"/>
    <cellStyle name="Normal 10" xfId="9"/>
    <cellStyle name="Normal 2" xfId="10"/>
    <cellStyle name="Normal 4" xfId="11"/>
    <cellStyle name="Normal 4 2" xfId="12"/>
    <cellStyle name="Normal 8" xfId="13"/>
    <cellStyle name="Normal 9 2" xfId="14"/>
    <cellStyle name="Normale_B2020" xfId="15"/>
    <cellStyle name="Per cent" xfId="16" builtinId="5"/>
    <cellStyle name="Percent 2" xfId="17"/>
    <cellStyle name="Percent 3" xfId="18"/>
    <cellStyle name="Percent 3 2" xfId="19"/>
    <cellStyle name="Percent 3 3" xfId="20"/>
    <cellStyle name="Percent 3 4" xfId="21"/>
    <cellStyle name="Percent 4" xfId="22"/>
    <cellStyle name="Percent 4 2" xfId="23"/>
    <cellStyle name="Percent 4 3" xfId="24"/>
    <cellStyle name="Percent 4 4" xfId="25"/>
    <cellStyle name="Percent 5" xfId="26"/>
    <cellStyle name="Percent 6" xfId="27"/>
    <cellStyle name="Percent 7" xfId="28"/>
    <cellStyle name="Standard_Sce_D_Extraction" xfId="29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5</xdr:row>
      <xdr:rowOff>25400</xdr:rowOff>
    </xdr:from>
    <xdr:to>
      <xdr:col>2</xdr:col>
      <xdr:colOff>330200</xdr:colOff>
      <xdr:row>18</xdr:row>
      <xdr:rowOff>152400</xdr:rowOff>
    </xdr:to>
    <xdr:pic>
      <xdr:nvPicPr>
        <xdr:cNvPr id="56967" name="Picture 6">
          <a:extLst>
            <a:ext uri="{FF2B5EF4-FFF2-40B4-BE49-F238E27FC236}">
              <a16:creationId xmlns:a16="http://schemas.microsoft.com/office/drawing/2014/main" id="{0CAB4D0E-DB22-4148-A274-66583113A8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9700" y="965200"/>
          <a:ext cx="914400" cy="227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116</xdr:row>
      <xdr:rowOff>12700</xdr:rowOff>
    </xdr:from>
    <xdr:to>
      <xdr:col>10</xdr:col>
      <xdr:colOff>393700</xdr:colOff>
      <xdr:row>127</xdr:row>
      <xdr:rowOff>139700</xdr:rowOff>
    </xdr:to>
    <xdr:pic>
      <xdr:nvPicPr>
        <xdr:cNvPr id="56968" name="Picture 8">
          <a:extLst>
            <a:ext uri="{FF2B5EF4-FFF2-40B4-BE49-F238E27FC236}">
              <a16:creationId xmlns:a16="http://schemas.microsoft.com/office/drawing/2014/main" id="{4A488AEA-614C-BF4F-B1E7-3D4152C07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19278600"/>
          <a:ext cx="4432300" cy="194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6</xdr:row>
      <xdr:rowOff>0</xdr:rowOff>
    </xdr:from>
    <xdr:to>
      <xdr:col>15</xdr:col>
      <xdr:colOff>76200</xdr:colOff>
      <xdr:row>30</xdr:row>
      <xdr:rowOff>25400</xdr:rowOff>
    </xdr:to>
    <xdr:pic>
      <xdr:nvPicPr>
        <xdr:cNvPr id="56969" name="Picture 4">
          <a:extLst>
            <a:ext uri="{FF2B5EF4-FFF2-40B4-BE49-F238E27FC236}">
              <a16:creationId xmlns:a16="http://schemas.microsoft.com/office/drawing/2014/main" id="{744D3736-2739-0A4F-8FE7-412C41C98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1104900"/>
          <a:ext cx="7226300" cy="3987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0</xdr:colOff>
      <xdr:row>29</xdr:row>
      <xdr:rowOff>139700</xdr:rowOff>
    </xdr:from>
    <xdr:to>
      <xdr:col>9</xdr:col>
      <xdr:colOff>330200</xdr:colOff>
      <xdr:row>35</xdr:row>
      <xdr:rowOff>114300</xdr:rowOff>
    </xdr:to>
    <xdr:pic>
      <xdr:nvPicPr>
        <xdr:cNvPr id="56970" name="Picture 5">
          <a:extLst>
            <a:ext uri="{FF2B5EF4-FFF2-40B4-BE49-F238E27FC236}">
              <a16:creationId xmlns:a16="http://schemas.microsoft.com/office/drawing/2014/main" id="{5739CF94-6836-D044-A267-E7CFDA235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5300" y="5041900"/>
          <a:ext cx="3695700" cy="965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</xdr:colOff>
      <xdr:row>27</xdr:row>
      <xdr:rowOff>9524</xdr:rowOff>
    </xdr:from>
    <xdr:to>
      <xdr:col>14</xdr:col>
      <xdr:colOff>471148</xdr:colOff>
      <xdr:row>33</xdr:row>
      <xdr:rowOff>19049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69C4BE7-85FD-9749-9D7C-5EB352F9AA4E}"/>
            </a:ext>
          </a:extLst>
        </xdr:cNvPr>
        <xdr:cNvSpPr txBox="1"/>
      </xdr:nvSpPr>
      <xdr:spPr>
        <a:xfrm>
          <a:off x="6537960" y="4933949"/>
          <a:ext cx="6376035" cy="9810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sectoral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energy commodities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(FI_COMM table) and define each ssectoral fuel technology option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fuel technology to convert the fuel commodity name from the supply sector to a sectoral specific fuel commodity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(e.g. from GAS to RSDGAS)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37674</xdr:colOff>
      <xdr:row>21</xdr:row>
      <xdr:rowOff>8678</xdr:rowOff>
    </xdr:from>
    <xdr:to>
      <xdr:col>25</xdr:col>
      <xdr:colOff>162970</xdr:colOff>
      <xdr:row>29</xdr:row>
      <xdr:rowOff>1090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44BC12-BD03-3841-8236-CC584846185B}"/>
            </a:ext>
          </a:extLst>
        </xdr:cNvPr>
        <xdr:cNvSpPr txBox="1"/>
      </xdr:nvSpPr>
      <xdr:spPr>
        <a:xfrm>
          <a:off x="10692974" y="4231428"/>
          <a:ext cx="6483756" cy="1262412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Declare  electricity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energy commodity and  electricity plants carbon dioxide</a:t>
          </a:r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an environmental commodity (FI_COMM table) and define power plant options (FI_Process table).</a:t>
          </a:r>
        </a:p>
        <a:p>
          <a:pPr lvl="0"/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Construct a power plant option for each fuel commodity.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12</xdr:row>
      <xdr:rowOff>0</xdr:rowOff>
    </xdr:from>
    <xdr:to>
      <xdr:col>7</xdr:col>
      <xdr:colOff>419100</xdr:colOff>
      <xdr:row>15</xdr:row>
      <xdr:rowOff>66675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7D03CD5-0A46-8847-9C3B-C715E5313EBE}"/>
            </a:ext>
          </a:extLst>
        </xdr:cNvPr>
        <xdr:cNvSpPr txBox="1"/>
      </xdr:nvSpPr>
      <xdr:spPr>
        <a:xfrm>
          <a:off x="609600" y="1971675"/>
          <a:ext cx="4391025" cy="5524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lvl="0"/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Define transport</a:t>
          </a:r>
          <a:r>
            <a:rPr lang="en-GB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carbon dioxide emission coefficients for each unit of fuel commodity consumed.</a:t>
          </a:r>
          <a:endParaRPr lang="en-GB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Wolfgang/c/temphold/TMPL_R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EnergyBalanc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EA Data"/>
      <sheetName val="E&amp;D Drivers"/>
      <sheetName val="AGR_Fuels"/>
      <sheetName val="AGR"/>
      <sheetName val="RES_Fuels"/>
      <sheetName val="RH1"/>
      <sheetName val="RH2"/>
      <sheetName val="RH3"/>
      <sheetName val="RH4"/>
      <sheetName val="RC1"/>
      <sheetName val="RC2"/>
      <sheetName val="RC3"/>
      <sheetName val="RC4"/>
      <sheetName val="RHW"/>
      <sheetName val="RRF"/>
      <sheetName val="RCW"/>
      <sheetName val="RCD"/>
      <sheetName val="RK1"/>
      <sheetName val="RK2"/>
      <sheetName val="RK3"/>
      <sheetName val="RK4"/>
      <sheetName val="RDW"/>
      <sheetName val="RME"/>
      <sheetName val="RL1"/>
      <sheetName val="RL2"/>
      <sheetName val="RL3"/>
      <sheetName val="RL4"/>
      <sheetName val="COM_Fuels"/>
      <sheetName val="CH1"/>
      <sheetName val="CH2"/>
      <sheetName val="CH3"/>
      <sheetName val="CH4"/>
      <sheetName val="CC1"/>
      <sheetName val="CC2"/>
      <sheetName val="CC3"/>
      <sheetName val="CC4"/>
      <sheetName val="CHW"/>
      <sheetName val="CAA"/>
      <sheetName val="CLA"/>
      <sheetName val="ElastPar"/>
      <sheetName val="Conversion Factors"/>
      <sheetName val="Intro"/>
      <sheetName val="TechRep"/>
      <sheetName val="Other_HYDRO"/>
      <sheetName val="Other_NUCL"/>
      <sheetName val="Other_THERM"/>
      <sheetName val="Other_CHP"/>
      <sheetName val="Other_RENEW"/>
      <sheetName val="Other_HEAT"/>
      <sheetName val="ELC_FUELS"/>
      <sheetName val="ELC"/>
      <sheetName val="HEAT"/>
      <sheetName val="CHP"/>
      <sheetName val="ELC_EMI"/>
      <sheetName val="Constant Table"/>
      <sheetName val="ANS_ITEMS_DEL"/>
      <sheetName val="ANS_ITEMS"/>
      <sheetName val="ANS_TIDDATA"/>
      <sheetName val="ANS_TSDATA"/>
    </sheetNames>
    <sheetDataSet>
      <sheetData sheetId="0" refreshError="1"/>
      <sheetData sheetId="1" refreshError="1"/>
      <sheetData sheetId="2" refreshError="1">
        <row r="2">
          <cell r="A2" t="str">
            <v>^FI_ST: TCH, PRC</v>
          </cell>
        </row>
      </sheetData>
      <sheetData sheetId="3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 refreshError="1"/>
      <sheetData sheetId="40" refreshError="1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nergyBalance"/>
      <sheetName val="EB1"/>
      <sheetName val="EB2"/>
      <sheetName val="RES&amp;OBJ"/>
    </sheetNames>
    <sheetDataSet>
      <sheetData sheetId="0"/>
      <sheetData sheetId="1">
        <row r="10">
          <cell r="D10">
            <v>-37.464700000000001</v>
          </cell>
          <cell r="E10">
            <v>-317.19200000000001</v>
          </cell>
          <cell r="F10">
            <v>0</v>
          </cell>
          <cell r="G10">
            <v>-16.283999999999999</v>
          </cell>
          <cell r="H10">
            <v>-2.1499999999999998E-2</v>
          </cell>
          <cell r="I10">
            <v>-528.76099999999997</v>
          </cell>
          <cell r="J10">
            <v>-164.50800000000001</v>
          </cell>
          <cell r="K10">
            <v>-0.61599999999999999</v>
          </cell>
          <cell r="L10">
            <v>-205.88</v>
          </cell>
          <cell r="M10">
            <v>0</v>
          </cell>
          <cell r="N10">
            <v>0</v>
          </cell>
          <cell r="O10">
            <v>-3.21225</v>
          </cell>
          <cell r="P10">
            <v>0</v>
          </cell>
          <cell r="Q10">
            <v>0</v>
          </cell>
          <cell r="R10">
            <v>0</v>
          </cell>
          <cell r="S10">
            <v>-0.76</v>
          </cell>
          <cell r="T10">
            <v>0</v>
          </cell>
          <cell r="U10">
            <v>0</v>
          </cell>
          <cell r="V10">
            <v>-1274.6994499999998</v>
          </cell>
        </row>
        <row r="11">
          <cell r="D11">
            <v>-6238.7780000000012</v>
          </cell>
          <cell r="E11">
            <v>-2254.2175999999999</v>
          </cell>
          <cell r="F11">
            <v>0</v>
          </cell>
          <cell r="G11">
            <v>-30.160499999999999</v>
          </cell>
          <cell r="H11">
            <v>0</v>
          </cell>
          <cell r="I11">
            <v>-23.835000000000001</v>
          </cell>
          <cell r="J11">
            <v>0</v>
          </cell>
          <cell r="K11">
            <v>0</v>
          </cell>
          <cell r="L11">
            <v>-524.78</v>
          </cell>
          <cell r="M11">
            <v>-33.529000000000003</v>
          </cell>
          <cell r="N11">
            <v>-4455</v>
          </cell>
          <cell r="O11">
            <v>-527.25918750000005</v>
          </cell>
          <cell r="P11">
            <v>-502.66000000000008</v>
          </cell>
          <cell r="Q11">
            <v>-263.8965</v>
          </cell>
          <cell r="R11">
            <v>-68</v>
          </cell>
          <cell r="S11">
            <v>-16.474499999999999</v>
          </cell>
          <cell r="T11">
            <v>868.77949999999998</v>
          </cell>
          <cell r="U11">
            <v>5790.5</v>
          </cell>
          <cell r="V11">
            <v>-8279.3107875000023</v>
          </cell>
        </row>
        <row r="12">
          <cell r="D12">
            <v>-104.9074</v>
          </cell>
          <cell r="E12">
            <v>-120.5204</v>
          </cell>
          <cell r="F12">
            <v>0</v>
          </cell>
          <cell r="G12">
            <v>-7.6189999999999998</v>
          </cell>
          <cell r="H12">
            <v>0</v>
          </cell>
          <cell r="I12">
            <v>-0.23350000000000001</v>
          </cell>
          <cell r="J12">
            <v>0</v>
          </cell>
          <cell r="K12">
            <v>0</v>
          </cell>
          <cell r="L12">
            <v>-15.2</v>
          </cell>
          <cell r="M12">
            <v>-1.772</v>
          </cell>
          <cell r="N12">
            <v>0</v>
          </cell>
          <cell r="O12">
            <v>-105.15525</v>
          </cell>
          <cell r="P12">
            <v>0</v>
          </cell>
          <cell r="Q12">
            <v>0</v>
          </cell>
          <cell r="R12">
            <v>0</v>
          </cell>
          <cell r="S12">
            <v>-0.78449999999999998</v>
          </cell>
          <cell r="T12">
            <v>329.37150000000003</v>
          </cell>
          <cell r="U12">
            <v>0</v>
          </cell>
          <cell r="V12">
            <v>-26.820549999999912</v>
          </cell>
        </row>
        <row r="13">
          <cell r="D13">
            <v>0</v>
          </cell>
          <cell r="E13">
            <v>0</v>
          </cell>
          <cell r="F13">
            <v>-15868.2305</v>
          </cell>
          <cell r="G13">
            <v>5701.34</v>
          </cell>
          <cell r="H13">
            <v>969.47799999999995</v>
          </cell>
          <cell r="I13">
            <v>1086.3040000000001</v>
          </cell>
          <cell r="J13">
            <v>3354.9119999999998</v>
          </cell>
          <cell r="K13">
            <v>970.28800000000001</v>
          </cell>
          <cell r="L13">
            <v>2285.1019999999999</v>
          </cell>
          <cell r="M13">
            <v>1299.9449999999999</v>
          </cell>
          <cell r="N13">
            <v>0</v>
          </cell>
          <cell r="O13">
            <v>0</v>
          </cell>
          <cell r="P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U13">
            <v>0</v>
          </cell>
          <cell r="V13">
            <v>-200.86150000000021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AA17"/>
  <sheetViews>
    <sheetView zoomScale="80" zoomScaleNormal="80" workbookViewId="0">
      <selection activeCell="U7" sqref="U7"/>
    </sheetView>
  </sheetViews>
  <sheetFormatPr baseColWidth="10" defaultRowHeight="13" x14ac:dyDescent="0.15"/>
  <cols>
    <col min="1" max="1" width="3" bestFit="1" customWidth="1"/>
    <col min="2" max="2" width="20.5" bestFit="1" customWidth="1"/>
    <col min="3" max="3" width="41.1640625" bestFit="1" customWidth="1"/>
    <col min="4" max="7" width="10.83203125" customWidth="1"/>
    <col min="8" max="8" width="12.1640625" customWidth="1"/>
    <col min="9" max="12" width="10.83203125" customWidth="1"/>
    <col min="13" max="13" width="17.83203125" bestFit="1" customWidth="1"/>
    <col min="14" max="21" width="10.83203125" customWidth="1"/>
    <col min="22" max="22" width="7.33203125" bestFit="1" customWidth="1"/>
    <col min="23" max="23" width="2" bestFit="1" customWidth="1"/>
    <col min="24" max="24" width="12.5" bestFit="1" customWidth="1"/>
    <col min="25" max="25" width="8.83203125" customWidth="1"/>
    <col min="26" max="26" width="6.6640625" bestFit="1" customWidth="1"/>
    <col min="27" max="27" width="9.33203125" bestFit="1" customWidth="1"/>
    <col min="28" max="256" width="8.83203125" customWidth="1"/>
  </cols>
  <sheetData>
    <row r="1" spans="1:27" s="6" customFormat="1" x14ac:dyDescent="0.15">
      <c r="X1" s="23" t="s">
        <v>78</v>
      </c>
      <c r="Y1" s="1" t="s">
        <v>79</v>
      </c>
      <c r="Z1" s="1" t="s">
        <v>80</v>
      </c>
      <c r="AA1" s="1" t="s">
        <v>87</v>
      </c>
    </row>
    <row r="2" spans="1:27" ht="16" x14ac:dyDescent="0.2">
      <c r="C2" s="7"/>
      <c r="D2" s="48" t="s">
        <v>42</v>
      </c>
      <c r="E2" s="48" t="s">
        <v>43</v>
      </c>
      <c r="F2" s="48" t="s">
        <v>44</v>
      </c>
      <c r="G2" s="48" t="s">
        <v>126</v>
      </c>
      <c r="H2" s="48" t="s">
        <v>127</v>
      </c>
      <c r="I2" s="48" t="s">
        <v>128</v>
      </c>
      <c r="J2" s="48" t="s">
        <v>129</v>
      </c>
      <c r="K2" s="48" t="s">
        <v>130</v>
      </c>
      <c r="L2" s="48" t="s">
        <v>131</v>
      </c>
      <c r="M2" s="48" t="s">
        <v>132</v>
      </c>
      <c r="N2" s="48" t="s">
        <v>45</v>
      </c>
      <c r="O2" s="48" t="s">
        <v>157</v>
      </c>
      <c r="P2" s="48" t="s">
        <v>153</v>
      </c>
      <c r="Q2" s="48" t="s">
        <v>158</v>
      </c>
      <c r="R2" s="48" t="s">
        <v>159</v>
      </c>
      <c r="S2" s="48" t="s">
        <v>46</v>
      </c>
      <c r="T2" s="48" t="s">
        <v>47</v>
      </c>
      <c r="U2" s="48" t="s">
        <v>48</v>
      </c>
      <c r="V2" s="48" t="s">
        <v>152</v>
      </c>
      <c r="X2" s="8"/>
      <c r="Y2" s="47" t="s">
        <v>142</v>
      </c>
      <c r="Z2" s="14" t="s">
        <v>68</v>
      </c>
      <c r="AA2" s="14" t="s">
        <v>88</v>
      </c>
    </row>
    <row r="3" spans="1:27" ht="28" x14ac:dyDescent="0.15">
      <c r="C3" s="67" t="s">
        <v>122</v>
      </c>
      <c r="D3" s="49" t="s">
        <v>49</v>
      </c>
      <c r="E3" s="49" t="s">
        <v>50</v>
      </c>
      <c r="F3" s="49" t="s">
        <v>125</v>
      </c>
      <c r="G3" s="49" t="s">
        <v>138</v>
      </c>
      <c r="H3" s="49" t="s">
        <v>135</v>
      </c>
      <c r="I3" s="49" t="s">
        <v>128</v>
      </c>
      <c r="J3" s="49" t="s">
        <v>136</v>
      </c>
      <c r="K3" s="49" t="s">
        <v>137</v>
      </c>
      <c r="L3" s="49" t="s">
        <v>133</v>
      </c>
      <c r="M3" s="49" t="s">
        <v>134</v>
      </c>
      <c r="N3" s="49" t="s">
        <v>51</v>
      </c>
      <c r="O3" s="49" t="s">
        <v>160</v>
      </c>
      <c r="P3" s="49" t="s">
        <v>154</v>
      </c>
      <c r="Q3" s="49" t="s">
        <v>155</v>
      </c>
      <c r="R3" s="49" t="s">
        <v>156</v>
      </c>
      <c r="S3" s="49" t="s">
        <v>52</v>
      </c>
      <c r="T3" s="49" t="s">
        <v>53</v>
      </c>
      <c r="U3" s="49" t="s">
        <v>74</v>
      </c>
      <c r="V3" s="49" t="s">
        <v>54</v>
      </c>
    </row>
    <row r="4" spans="1:27" x14ac:dyDescent="0.15">
      <c r="B4" s="46"/>
      <c r="C4" s="83" t="s">
        <v>55</v>
      </c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84"/>
      <c r="X4" s="6"/>
    </row>
    <row r="5" spans="1:27" x14ac:dyDescent="0.15">
      <c r="B5" s="50" t="s">
        <v>56</v>
      </c>
      <c r="C5" s="59" t="s">
        <v>57</v>
      </c>
      <c r="D5" s="51">
        <f>[2]EB1!D10</f>
        <v>-37.464700000000001</v>
      </c>
      <c r="E5" s="51">
        <f>[2]EB1!E10</f>
        <v>-317.19200000000001</v>
      </c>
      <c r="F5" s="51">
        <f>[2]EB1!F10</f>
        <v>0</v>
      </c>
      <c r="G5" s="51">
        <f>[2]EB1!G10</f>
        <v>-16.283999999999999</v>
      </c>
      <c r="H5" s="51">
        <f>[2]EB1!H10</f>
        <v>-2.1499999999999998E-2</v>
      </c>
      <c r="I5" s="51">
        <f>[2]EB1!I10</f>
        <v>-528.76099999999997</v>
      </c>
      <c r="J5" s="51">
        <f>[2]EB1!J10</f>
        <v>-164.50800000000001</v>
      </c>
      <c r="K5" s="51">
        <f>[2]EB1!K10</f>
        <v>-0.61599999999999999</v>
      </c>
      <c r="L5" s="51">
        <f>[2]EB1!L10</f>
        <v>-205.88</v>
      </c>
      <c r="M5" s="51">
        <f>[2]EB1!M10</f>
        <v>0</v>
      </c>
      <c r="N5" s="51">
        <f>[2]EB1!N10</f>
        <v>0</v>
      </c>
      <c r="O5" s="51">
        <f>[2]EB1!O10</f>
        <v>-3.21225</v>
      </c>
      <c r="P5" s="51">
        <f>[2]EB1!P10</f>
        <v>0</v>
      </c>
      <c r="Q5" s="51">
        <f>[2]EB1!Q10</f>
        <v>0</v>
      </c>
      <c r="R5" s="51">
        <f>[2]EB1!R10</f>
        <v>0</v>
      </c>
      <c r="S5" s="51">
        <f>[2]EB1!S10</f>
        <v>-0.76</v>
      </c>
      <c r="T5" s="51">
        <f>[2]EB1!T10</f>
        <v>0</v>
      </c>
      <c r="U5" s="51">
        <f>[2]EB1!U10</f>
        <v>0</v>
      </c>
      <c r="V5" s="85">
        <f>[2]EB1!V10</f>
        <v>-1274.6994499999998</v>
      </c>
      <c r="X5" s="6"/>
    </row>
    <row r="6" spans="1:27" ht="15" x14ac:dyDescent="0.2">
      <c r="B6" s="50" t="s">
        <v>48</v>
      </c>
      <c r="C6" s="60" t="s">
        <v>58</v>
      </c>
      <c r="D6" s="54">
        <f>[2]EB1!D11</f>
        <v>-6238.7780000000012</v>
      </c>
      <c r="E6" s="53">
        <f>[2]EB1!E11</f>
        <v>-2254.2175999999999</v>
      </c>
      <c r="F6" s="53">
        <f>[2]EB1!F11</f>
        <v>0</v>
      </c>
      <c r="G6" s="53">
        <f>[2]EB1!G11</f>
        <v>-30.160499999999999</v>
      </c>
      <c r="H6" s="53">
        <f>[2]EB1!H11</f>
        <v>0</v>
      </c>
      <c r="I6" s="53">
        <f>[2]EB1!I11</f>
        <v>-23.835000000000001</v>
      </c>
      <c r="J6" s="53">
        <f>[2]EB1!J11</f>
        <v>0</v>
      </c>
      <c r="K6" s="53">
        <f>[2]EB1!K11</f>
        <v>0</v>
      </c>
      <c r="L6" s="53">
        <f>[2]EB1!L11</f>
        <v>-524.78</v>
      </c>
      <c r="M6" s="53">
        <f>[2]EB1!M11</f>
        <v>-33.529000000000003</v>
      </c>
      <c r="N6" s="53">
        <f>[2]EB1!N11</f>
        <v>-4455</v>
      </c>
      <c r="O6" s="53">
        <f>[2]EB1!O11</f>
        <v>-527.25918750000005</v>
      </c>
      <c r="P6" s="53">
        <f>[2]EB1!P11</f>
        <v>-502.66000000000008</v>
      </c>
      <c r="Q6" s="53">
        <f>[2]EB1!Q11</f>
        <v>-263.8965</v>
      </c>
      <c r="R6" s="53">
        <f>[2]EB1!R11</f>
        <v>-68</v>
      </c>
      <c r="S6" s="51">
        <f>[2]EB1!S11</f>
        <v>-16.474499999999999</v>
      </c>
      <c r="T6" s="51">
        <f>[2]EB1!T11</f>
        <v>868.77949999999998</v>
      </c>
      <c r="U6" s="53">
        <f>[2]EB1!U11</f>
        <v>5790.5</v>
      </c>
      <c r="V6" s="85">
        <f>[2]EB1!V11</f>
        <v>-8279.3107875000023</v>
      </c>
      <c r="X6" s="95"/>
    </row>
    <row r="7" spans="1:27" x14ac:dyDescent="0.15">
      <c r="B7" s="50" t="s">
        <v>59</v>
      </c>
      <c r="C7" s="60" t="s">
        <v>60</v>
      </c>
      <c r="D7" s="51">
        <f>[2]EB1!D12</f>
        <v>-104.9074</v>
      </c>
      <c r="E7" s="51">
        <f>[2]EB1!E12</f>
        <v>-120.5204</v>
      </c>
      <c r="F7" s="51">
        <f>[2]EB1!F12</f>
        <v>0</v>
      </c>
      <c r="G7" s="51">
        <f>[2]EB1!G12</f>
        <v>-7.6189999999999998</v>
      </c>
      <c r="H7" s="51">
        <f>[2]EB1!H12</f>
        <v>0</v>
      </c>
      <c r="I7" s="51">
        <f>[2]EB1!I12</f>
        <v>-0.23350000000000001</v>
      </c>
      <c r="J7" s="51">
        <f>[2]EB1!J12</f>
        <v>0</v>
      </c>
      <c r="K7" s="51">
        <f>[2]EB1!K12</f>
        <v>0</v>
      </c>
      <c r="L7" s="51">
        <f>[2]EB1!L12</f>
        <v>-15.2</v>
      </c>
      <c r="M7" s="51">
        <f>[2]EB1!M12</f>
        <v>-1.772</v>
      </c>
      <c r="N7" s="51">
        <f>[2]EB1!N12</f>
        <v>0</v>
      </c>
      <c r="O7" s="51">
        <f>[2]EB1!O12</f>
        <v>-105.15525</v>
      </c>
      <c r="P7" s="51">
        <f>[2]EB1!P12</f>
        <v>0</v>
      </c>
      <c r="Q7" s="51">
        <f>[2]EB1!Q12</f>
        <v>0</v>
      </c>
      <c r="R7" s="51">
        <f>[2]EB1!R12</f>
        <v>0</v>
      </c>
      <c r="S7" s="51">
        <f>[2]EB1!S12</f>
        <v>-0.78449999999999998</v>
      </c>
      <c r="T7" s="51">
        <f>[2]EB1!T12</f>
        <v>329.37150000000003</v>
      </c>
      <c r="U7" s="51">
        <f>[2]EB1!U12</f>
        <v>0</v>
      </c>
      <c r="V7" s="85">
        <f>[2]EB1!V12</f>
        <v>-26.820549999999912</v>
      </c>
      <c r="X7" s="6"/>
    </row>
    <row r="8" spans="1:27" x14ac:dyDescent="0.15">
      <c r="B8" s="50" t="s">
        <v>61</v>
      </c>
      <c r="C8" s="60" t="s">
        <v>62</v>
      </c>
      <c r="D8" s="74">
        <f>[2]EB1!D13</f>
        <v>0</v>
      </c>
      <c r="E8" s="51">
        <f>[2]EB1!E13</f>
        <v>0</v>
      </c>
      <c r="F8" s="51">
        <f>[2]EB1!F13</f>
        <v>-15868.2305</v>
      </c>
      <c r="G8" s="51">
        <f>[2]EB1!G13</f>
        <v>5701.34</v>
      </c>
      <c r="H8" s="51">
        <f>[2]EB1!H13</f>
        <v>969.47799999999995</v>
      </c>
      <c r="I8" s="51">
        <f>[2]EB1!I13</f>
        <v>1086.3040000000001</v>
      </c>
      <c r="J8" s="51">
        <f>[2]EB1!J13</f>
        <v>3354.9119999999998</v>
      </c>
      <c r="K8" s="51">
        <f>[2]EB1!K13</f>
        <v>970.28800000000001</v>
      </c>
      <c r="L8" s="51">
        <f>[2]EB1!L13</f>
        <v>2285.1019999999999</v>
      </c>
      <c r="M8" s="51">
        <f>[2]EB1!M13</f>
        <v>1299.9449999999999</v>
      </c>
      <c r="N8" s="51">
        <f>[2]EB1!N13</f>
        <v>0</v>
      </c>
      <c r="O8" s="51">
        <f>[2]EB1!O13</f>
        <v>0</v>
      </c>
      <c r="P8" s="51">
        <f>[2]EB1!P13</f>
        <v>0</v>
      </c>
      <c r="Q8" s="51">
        <f>[2]EB1!Q13</f>
        <v>0</v>
      </c>
      <c r="R8" s="51">
        <f>[2]EB1!R13</f>
        <v>0</v>
      </c>
      <c r="S8" s="51">
        <f>[2]EB1!S13</f>
        <v>0</v>
      </c>
      <c r="T8" s="51">
        <f>[2]EB1!T13</f>
        <v>0</v>
      </c>
      <c r="U8" s="51">
        <f>[2]EB1!U13</f>
        <v>0</v>
      </c>
      <c r="V8" s="85">
        <f>[2]EB1!V13</f>
        <v>-200.86150000000021</v>
      </c>
    </row>
    <row r="9" spans="1:27" ht="15" x14ac:dyDescent="0.2">
      <c r="B9" s="46"/>
      <c r="C9" s="55" t="s">
        <v>63</v>
      </c>
      <c r="D9" s="58">
        <f>SUM(D5:D8)</f>
        <v>-6381.1501000000017</v>
      </c>
      <c r="E9" s="56">
        <f t="shared" ref="E9:U9" si="0">SUM(E5:E8)</f>
        <v>-2691.93</v>
      </c>
      <c r="F9" s="56">
        <f t="shared" si="0"/>
        <v>-15868.2305</v>
      </c>
      <c r="G9" s="56">
        <f t="shared" si="0"/>
        <v>5647.2764999999999</v>
      </c>
      <c r="H9" s="56">
        <f t="shared" si="0"/>
        <v>969.45650000000001</v>
      </c>
      <c r="I9" s="56">
        <f t="shared" si="0"/>
        <v>533.47450000000003</v>
      </c>
      <c r="J9" s="56">
        <f t="shared" si="0"/>
        <v>3190.404</v>
      </c>
      <c r="K9" s="56">
        <f t="shared" si="0"/>
        <v>969.67200000000003</v>
      </c>
      <c r="L9" s="56">
        <f t="shared" si="0"/>
        <v>1539.2419999999997</v>
      </c>
      <c r="M9" s="56">
        <f t="shared" si="0"/>
        <v>1264.644</v>
      </c>
      <c r="N9" s="56">
        <f t="shared" si="0"/>
        <v>-4455</v>
      </c>
      <c r="O9" s="56">
        <f t="shared" si="0"/>
        <v>-635.62668750000012</v>
      </c>
      <c r="P9" s="56">
        <f t="shared" si="0"/>
        <v>-502.66000000000008</v>
      </c>
      <c r="Q9" s="56">
        <f t="shared" si="0"/>
        <v>-263.8965</v>
      </c>
      <c r="R9" s="56">
        <f t="shared" si="0"/>
        <v>-68</v>
      </c>
      <c r="S9" s="56">
        <f t="shared" si="0"/>
        <v>-18.019000000000002</v>
      </c>
      <c r="T9" s="56">
        <f t="shared" si="0"/>
        <v>1198.1510000000001</v>
      </c>
      <c r="U9" s="56">
        <f t="shared" si="0"/>
        <v>5790.5</v>
      </c>
      <c r="V9" s="57">
        <f>SUM(V5:V8)</f>
        <v>-9781.6922875000037</v>
      </c>
    </row>
    <row r="10" spans="1:27" x14ac:dyDescent="0.15">
      <c r="A10" s="6"/>
      <c r="D10" s="10"/>
      <c r="F10" s="10"/>
      <c r="G10" s="10"/>
      <c r="H10" s="10"/>
      <c r="I10" s="10"/>
      <c r="J10" s="10"/>
      <c r="K10" s="10"/>
      <c r="L10" s="10"/>
      <c r="M10" s="10"/>
    </row>
    <row r="11" spans="1:27" x14ac:dyDescent="0.15">
      <c r="A11" s="6"/>
      <c r="D11" s="10"/>
      <c r="E11" s="10"/>
      <c r="F11" s="10"/>
      <c r="G11" s="10"/>
      <c r="H11" s="10"/>
      <c r="I11" s="10"/>
      <c r="J11" s="10"/>
      <c r="K11" s="10"/>
      <c r="L11" s="10"/>
      <c r="M11" s="10"/>
      <c r="O11" s="10"/>
      <c r="P11" s="96"/>
      <c r="Q11" s="96"/>
      <c r="R11" s="96"/>
    </row>
    <row r="12" spans="1:27" ht="15" x14ac:dyDescent="0.2">
      <c r="A12" s="6"/>
      <c r="C12" s="53" t="s">
        <v>143</v>
      </c>
      <c r="D12" s="53"/>
      <c r="E12" s="53"/>
      <c r="F12" s="10"/>
      <c r="G12" s="10"/>
      <c r="H12" s="10"/>
      <c r="I12" s="10"/>
      <c r="J12" s="10"/>
      <c r="K12" s="10"/>
      <c r="L12" s="10"/>
      <c r="M12" s="10"/>
    </row>
    <row r="13" spans="1:27" x14ac:dyDescent="0.15">
      <c r="A13" s="6"/>
      <c r="V13" s="8"/>
    </row>
    <row r="14" spans="1:27" x14ac:dyDescent="0.15">
      <c r="A14" s="6"/>
      <c r="V14" s="8"/>
    </row>
    <row r="15" spans="1:27" ht="14" x14ac:dyDescent="0.15">
      <c r="A15" s="6"/>
      <c r="C15" s="64" t="s">
        <v>90</v>
      </c>
      <c r="D15" s="66" t="s">
        <v>91</v>
      </c>
      <c r="E15" s="65" t="s">
        <v>92</v>
      </c>
      <c r="V15" s="8"/>
    </row>
    <row r="16" spans="1:27" ht="14" x14ac:dyDescent="0.15">
      <c r="A16" s="6"/>
      <c r="B16" s="23" t="s">
        <v>99</v>
      </c>
      <c r="C16" s="61" t="s">
        <v>93</v>
      </c>
      <c r="D16" s="61" t="s">
        <v>94</v>
      </c>
      <c r="E16" s="62" t="s">
        <v>92</v>
      </c>
      <c r="V16" s="8"/>
    </row>
    <row r="17" spans="2:5" x14ac:dyDescent="0.15">
      <c r="B17" s="50" t="s">
        <v>48</v>
      </c>
      <c r="C17" s="90">
        <v>1</v>
      </c>
      <c r="D17" s="63"/>
      <c r="E17" s="91"/>
    </row>
  </sheetData>
  <pageMargins left="0.7" right="0.7" top="0.75" bottom="0.75" header="0.3" footer="0.3"/>
  <pageSetup paperSize="9" orientation="portrait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5"/>
  <sheetViews>
    <sheetView zoomScale="80" zoomScaleNormal="80" workbookViewId="0">
      <selection activeCell="E7" sqref="E7"/>
    </sheetView>
  </sheetViews>
  <sheetFormatPr baseColWidth="10" defaultRowHeight="13" x14ac:dyDescent="0.15"/>
  <cols>
    <col min="1" max="1" width="1.83203125" customWidth="1"/>
    <col min="2" max="2" width="7.6640625" customWidth="1"/>
    <col min="3" max="4" width="6.83203125" customWidth="1"/>
    <col min="5" max="13" width="8.83203125" customWidth="1"/>
    <col min="14" max="14" width="5.5" customWidth="1"/>
    <col min="15" max="256" width="8.83203125" customWidth="1"/>
  </cols>
  <sheetData>
    <row r="1" spans="2:13" x14ac:dyDescent="0.15">
      <c r="E1" s="11"/>
      <c r="F1" s="6"/>
    </row>
    <row r="2" spans="2:13" ht="18" x14ac:dyDescent="0.2">
      <c r="B2" s="78" t="s">
        <v>147</v>
      </c>
      <c r="E2" s="6"/>
      <c r="F2" s="6"/>
    </row>
    <row r="4" spans="2:13" ht="18" x14ac:dyDescent="0.2">
      <c r="E4" s="119" t="s">
        <v>150</v>
      </c>
      <c r="F4" s="120"/>
      <c r="G4" s="120"/>
      <c r="H4" s="120"/>
      <c r="I4" s="120"/>
      <c r="J4" s="120"/>
      <c r="K4" s="120"/>
      <c r="L4" s="120"/>
      <c r="M4" s="121"/>
    </row>
    <row r="5" spans="2:13" ht="12.75" customHeight="1" x14ac:dyDescent="0.15">
      <c r="E5" s="79" t="s">
        <v>148</v>
      </c>
      <c r="F5" s="79"/>
      <c r="G5" s="79"/>
      <c r="H5" s="79"/>
      <c r="I5" s="87"/>
      <c r="J5" s="87"/>
      <c r="K5" s="87"/>
      <c r="L5" s="87"/>
      <c r="M5" s="87"/>
    </row>
  </sheetData>
  <mergeCells count="1">
    <mergeCell ref="E4:M4"/>
  </mergeCells>
  <pageMargins left="0.7" right="0.7" top="0.75" bottom="0.75" header="0.3" footer="0.3"/>
  <pageSetup paperSize="9" orientation="portrait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R33"/>
  <sheetViews>
    <sheetView zoomScaleNormal="100" workbookViewId="0">
      <selection activeCell="H29" sqref="H29"/>
    </sheetView>
  </sheetViews>
  <sheetFormatPr baseColWidth="10" defaultRowHeight="13" x14ac:dyDescent="0.15"/>
  <cols>
    <col min="1" max="1" width="3" customWidth="1"/>
    <col min="2" max="2" width="13.5" bestFit="1" customWidth="1"/>
    <col min="3" max="3" width="13.1640625" bestFit="1" customWidth="1"/>
    <col min="4" max="4" width="11.83203125" bestFit="1" customWidth="1"/>
    <col min="5" max="5" width="11.5" bestFit="1" customWidth="1"/>
    <col min="6" max="6" width="13" bestFit="1" customWidth="1"/>
    <col min="7" max="7" width="8.33203125" bestFit="1" customWidth="1"/>
    <col min="8" max="8" width="9" customWidth="1"/>
    <col min="9" max="9" width="2.1640625" bestFit="1" customWidth="1"/>
    <col min="10" max="10" width="12.5" customWidth="1"/>
    <col min="11" max="11" width="7.1640625" customWidth="1"/>
    <col min="12" max="12" width="14.5" bestFit="1" customWidth="1"/>
    <col min="13" max="13" width="61.6640625" bestFit="1" customWidth="1"/>
    <col min="14" max="14" width="6.1640625" customWidth="1"/>
    <col min="15" max="15" width="10.5" bestFit="1" customWidth="1"/>
    <col min="16" max="16" width="12.83203125" bestFit="1" customWidth="1"/>
    <col min="17" max="17" width="14.1640625" bestFit="1" customWidth="1"/>
    <col min="18" max="18" width="8.1640625" customWidth="1"/>
    <col min="19" max="256" width="8.83203125" customWidth="1"/>
  </cols>
  <sheetData>
    <row r="1" spans="2:18" ht="15" x14ac:dyDescent="0.2">
      <c r="B1" s="12" t="s">
        <v>65</v>
      </c>
      <c r="C1" s="12" t="s">
        <v>66</v>
      </c>
      <c r="D1" s="12" t="s">
        <v>67</v>
      </c>
      <c r="E1" s="12" t="s">
        <v>97</v>
      </c>
      <c r="F1" s="12" t="s">
        <v>79</v>
      </c>
      <c r="G1" s="12" t="s">
        <v>84</v>
      </c>
      <c r="H1" s="39"/>
    </row>
    <row r="2" spans="2:18" ht="34" x14ac:dyDescent="0.2">
      <c r="B2" s="14" t="str">
        <f>'EB1'!B6</f>
        <v>ELC</v>
      </c>
      <c r="C2" s="22" t="str">
        <f>'EB1'!C6</f>
        <v>Electricity Plants</v>
      </c>
      <c r="D2" s="14" t="s">
        <v>95</v>
      </c>
      <c r="E2" s="14" t="str">
        <f>'EB1'!Z2</f>
        <v>PJ</v>
      </c>
      <c r="F2" s="14" t="str">
        <f>'EB1'!Y2</f>
        <v>M€2005</v>
      </c>
      <c r="G2" s="14" t="s">
        <v>85</v>
      </c>
      <c r="H2" s="13"/>
      <c r="J2" s="106" t="s">
        <v>14</v>
      </c>
      <c r="K2" s="106"/>
      <c r="L2" s="107"/>
      <c r="M2" s="107"/>
      <c r="N2" s="107"/>
      <c r="O2" s="107"/>
      <c r="P2" s="107"/>
      <c r="Q2" s="107"/>
      <c r="R2" s="107"/>
    </row>
    <row r="3" spans="2:18" x14ac:dyDescent="0.15">
      <c r="J3" s="108" t="s">
        <v>7</v>
      </c>
      <c r="K3" s="109" t="s">
        <v>30</v>
      </c>
      <c r="L3" s="108" t="s">
        <v>0</v>
      </c>
      <c r="M3" s="108" t="s">
        <v>3</v>
      </c>
      <c r="N3" s="108" t="s">
        <v>4</v>
      </c>
      <c r="O3" s="108" t="s">
        <v>8</v>
      </c>
      <c r="P3" s="108" t="s">
        <v>9</v>
      </c>
      <c r="Q3" s="108" t="s">
        <v>10</v>
      </c>
      <c r="R3" s="108" t="s">
        <v>12</v>
      </c>
    </row>
    <row r="4" spans="2:18" s="6" customFormat="1" ht="26" thickBot="1" x14ac:dyDescent="0.25">
      <c r="B4" s="13"/>
      <c r="C4" s="13"/>
      <c r="D4" s="13"/>
      <c r="E4" s="13"/>
      <c r="G4" s="13"/>
      <c r="J4" s="110" t="s">
        <v>35</v>
      </c>
      <c r="K4" s="110" t="s">
        <v>31</v>
      </c>
      <c r="L4" s="110" t="s">
        <v>26</v>
      </c>
      <c r="M4" s="110" t="s">
        <v>27</v>
      </c>
      <c r="N4" s="110" t="s">
        <v>4</v>
      </c>
      <c r="O4" s="110" t="s">
        <v>38</v>
      </c>
      <c r="P4" s="110" t="s">
        <v>39</v>
      </c>
      <c r="Q4" s="110" t="s">
        <v>28</v>
      </c>
      <c r="R4" s="110" t="s">
        <v>29</v>
      </c>
    </row>
    <row r="5" spans="2:18" ht="14" x14ac:dyDescent="0.15">
      <c r="B5" s="8"/>
      <c r="C5" s="8"/>
      <c r="D5" s="8"/>
      <c r="E5" s="16"/>
      <c r="F5" s="16"/>
      <c r="G5" s="77"/>
      <c r="H5" s="15"/>
      <c r="J5" s="111" t="s">
        <v>64</v>
      </c>
      <c r="K5" s="111"/>
      <c r="L5" s="111" t="str">
        <f>$B$2&amp;'EB1'!$D$2</f>
        <v>ELCCOA</v>
      </c>
      <c r="M5" s="112" t="str">
        <f>$C$2&amp;" "&amp;'EB1'!$D$3</f>
        <v>Electricity Plants Solid Fuels</v>
      </c>
      <c r="N5" s="111" t="str">
        <f t="shared" ref="N5:N12" si="0">$E$2</f>
        <v>PJ</v>
      </c>
      <c r="O5" s="111"/>
      <c r="P5" s="111"/>
      <c r="Q5" s="111"/>
      <c r="R5" s="111"/>
    </row>
    <row r="6" spans="2:18" ht="14" x14ac:dyDescent="0.15">
      <c r="B6" s="8"/>
      <c r="C6" s="8"/>
      <c r="D6" s="8"/>
      <c r="E6" s="16"/>
      <c r="F6" s="16"/>
      <c r="G6" s="77"/>
      <c r="H6" s="15"/>
      <c r="J6" s="111"/>
      <c r="K6" s="111"/>
      <c r="L6" s="111" t="str">
        <f>$B$2&amp;'EB1'!$E$2</f>
        <v>ELCGAS</v>
      </c>
      <c r="M6" s="112" t="str">
        <f>$C$2&amp;" "&amp;'EB1'!$E$3</f>
        <v>Electricity Plants Natural Gas</v>
      </c>
      <c r="N6" s="111" t="str">
        <f t="shared" si="0"/>
        <v>PJ</v>
      </c>
      <c r="O6" s="111"/>
      <c r="P6" s="111"/>
      <c r="Q6" s="111"/>
      <c r="R6" s="111"/>
    </row>
    <row r="7" spans="2:18" ht="14" x14ac:dyDescent="0.15">
      <c r="B7" s="8"/>
      <c r="C7" s="8"/>
      <c r="D7" s="8"/>
      <c r="E7" s="16"/>
      <c r="F7" s="16"/>
      <c r="G7" s="77"/>
      <c r="H7" s="15"/>
      <c r="J7" s="111"/>
      <c r="K7" s="111"/>
      <c r="L7" s="111" t="str">
        <f>$B$2&amp;'EB1'!$F$2</f>
        <v>ELCOIL</v>
      </c>
      <c r="M7" s="112" t="str">
        <f>$C$2&amp;" "&amp;RIGHT('EB1'!$F$3,3)</f>
        <v>Electricity Plants oil</v>
      </c>
      <c r="N7" s="111" t="str">
        <f t="shared" si="0"/>
        <v>PJ</v>
      </c>
      <c r="O7" s="111"/>
      <c r="P7" s="111"/>
      <c r="Q7" s="111"/>
      <c r="R7" s="111"/>
    </row>
    <row r="8" spans="2:18" ht="14" x14ac:dyDescent="0.15">
      <c r="B8" s="8"/>
      <c r="C8" s="8"/>
      <c r="D8" s="8"/>
      <c r="E8" s="16"/>
      <c r="F8" s="16"/>
      <c r="G8" s="77"/>
      <c r="H8" s="15"/>
      <c r="J8" s="111"/>
      <c r="K8" s="111"/>
      <c r="L8" s="111" t="str">
        <f>$B$2&amp;'EB1'!$N$2</f>
        <v>ELCNUC</v>
      </c>
      <c r="M8" s="112" t="str">
        <f>$C$2&amp;" "&amp;'EB1'!$N$3</f>
        <v>Electricity Plants Nuclear Energy</v>
      </c>
      <c r="N8" s="111" t="str">
        <f t="shared" si="0"/>
        <v>PJ</v>
      </c>
      <c r="O8" s="111"/>
      <c r="P8" s="111"/>
      <c r="Q8" s="111"/>
      <c r="R8" s="111"/>
    </row>
    <row r="9" spans="2:18" ht="14" x14ac:dyDescent="0.15">
      <c r="B9" s="8"/>
      <c r="C9" s="8"/>
      <c r="D9" s="8"/>
      <c r="E9" s="16"/>
      <c r="F9" s="16"/>
      <c r="G9" s="77"/>
      <c r="H9" s="15"/>
      <c r="J9" s="111"/>
      <c r="K9" s="111"/>
      <c r="L9" s="111" t="str">
        <f>$B$2&amp;'EB1'!$O$2</f>
        <v>ELCBIO</v>
      </c>
      <c r="M9" s="112" t="str">
        <f>$C$2&amp;" "&amp;'EB1'!$O$3</f>
        <v>Electricity Plants Biomass</v>
      </c>
      <c r="N9" s="111" t="str">
        <f t="shared" si="0"/>
        <v>PJ</v>
      </c>
      <c r="O9" s="111"/>
      <c r="P9" s="111"/>
      <c r="Q9" s="111"/>
      <c r="R9" s="111"/>
    </row>
    <row r="10" spans="2:18" ht="14" x14ac:dyDescent="0.15">
      <c r="B10" s="8"/>
      <c r="C10" s="8"/>
      <c r="D10" s="8"/>
      <c r="E10" s="16"/>
      <c r="F10" s="16"/>
      <c r="G10" s="77"/>
      <c r="H10" s="15"/>
      <c r="J10" s="111"/>
      <c r="K10" s="111"/>
      <c r="L10" s="111" t="str">
        <f>$B$2&amp;'EB1'!$P$2</f>
        <v>ELCHYD</v>
      </c>
      <c r="M10" s="112" t="str">
        <f>$C$2&amp;" "&amp;'EB1'!$P$3</f>
        <v>Electricity Plants Hydro power</v>
      </c>
      <c r="N10" s="111" t="str">
        <f t="shared" si="0"/>
        <v>PJ</v>
      </c>
      <c r="O10" s="111"/>
      <c r="P10" s="111"/>
      <c r="Q10" s="111"/>
      <c r="R10" s="111"/>
    </row>
    <row r="11" spans="2:18" ht="14" x14ac:dyDescent="0.15">
      <c r="B11" s="8"/>
      <c r="C11" s="8"/>
      <c r="D11" s="8"/>
      <c r="E11" s="16"/>
      <c r="F11" s="16"/>
      <c r="G11" s="77"/>
      <c r="H11" s="15"/>
      <c r="J11" s="111"/>
      <c r="K11" s="111"/>
      <c r="L11" s="111" t="str">
        <f>$B$2&amp;'EB1'!$Q$2</f>
        <v>ELCWIN</v>
      </c>
      <c r="M11" s="112" t="str">
        <f>$C$2&amp;" "&amp;'EB1'!$Q$3</f>
        <v>Electricity Plants Wind energy</v>
      </c>
      <c r="N11" s="111" t="str">
        <f t="shared" si="0"/>
        <v>PJ</v>
      </c>
      <c r="O11" s="111"/>
      <c r="P11" s="111"/>
      <c r="Q11" s="111"/>
      <c r="R11" s="111"/>
    </row>
    <row r="12" spans="2:18" ht="14" x14ac:dyDescent="0.15">
      <c r="B12" s="8"/>
      <c r="C12" s="8"/>
      <c r="D12" s="8"/>
      <c r="E12" s="16"/>
      <c r="F12" s="16"/>
      <c r="G12" s="77"/>
      <c r="H12" s="15"/>
      <c r="J12" s="111"/>
      <c r="K12" s="111"/>
      <c r="L12" s="111" t="str">
        <f>$B$2&amp;'EB1'!$R$2</f>
        <v>ELCSOL</v>
      </c>
      <c r="M12" s="112" t="str">
        <f>$C$2&amp;" "&amp;'EB1'!$R$3</f>
        <v>Electricity Plants Solar energy</v>
      </c>
      <c r="N12" s="111" t="str">
        <f t="shared" si="0"/>
        <v>PJ</v>
      </c>
      <c r="O12" s="111"/>
      <c r="P12" s="111"/>
      <c r="Q12" s="111"/>
      <c r="R12" s="111"/>
    </row>
    <row r="13" spans="2:18" x14ac:dyDescent="0.15">
      <c r="L13" s="27"/>
      <c r="M13" s="29"/>
    </row>
    <row r="14" spans="2:18" x14ac:dyDescent="0.15">
      <c r="D14" s="4" t="s">
        <v>13</v>
      </c>
      <c r="E14" s="4"/>
      <c r="F14" s="4"/>
      <c r="J14" s="106" t="s">
        <v>15</v>
      </c>
      <c r="K14" s="106"/>
      <c r="L14" s="113"/>
      <c r="M14" s="113"/>
      <c r="N14" s="113"/>
      <c r="O14" s="113"/>
      <c r="P14" s="113"/>
      <c r="Q14" s="113"/>
      <c r="R14" s="113"/>
    </row>
    <row r="15" spans="2:18" ht="14" x14ac:dyDescent="0.15">
      <c r="B15" s="20" t="s">
        <v>1</v>
      </c>
      <c r="C15" s="20" t="s">
        <v>5</v>
      </c>
      <c r="D15" s="20" t="s">
        <v>6</v>
      </c>
      <c r="E15" s="82" t="s">
        <v>141</v>
      </c>
      <c r="F15" s="80" t="s">
        <v>124</v>
      </c>
      <c r="G15" s="80" t="s">
        <v>73</v>
      </c>
      <c r="H15" s="80" t="s">
        <v>70</v>
      </c>
      <c r="J15" s="108" t="s">
        <v>11</v>
      </c>
      <c r="K15" s="109" t="s">
        <v>30</v>
      </c>
      <c r="L15" s="108" t="s">
        <v>1</v>
      </c>
      <c r="M15" s="108" t="s">
        <v>2</v>
      </c>
      <c r="N15" s="108" t="s">
        <v>16</v>
      </c>
      <c r="O15" s="108" t="s">
        <v>17</v>
      </c>
      <c r="P15" s="108" t="s">
        <v>18</v>
      </c>
      <c r="Q15" s="108" t="s">
        <v>19</v>
      </c>
      <c r="R15" s="108" t="s">
        <v>20</v>
      </c>
    </row>
    <row r="16" spans="2:18" ht="25" thickBot="1" x14ac:dyDescent="0.2">
      <c r="B16" s="19" t="s">
        <v>37</v>
      </c>
      <c r="C16" s="19" t="s">
        <v>32</v>
      </c>
      <c r="D16" s="19" t="s">
        <v>33</v>
      </c>
      <c r="E16" s="19" t="s">
        <v>140</v>
      </c>
      <c r="F16" s="19" t="s">
        <v>34</v>
      </c>
      <c r="G16" s="19" t="s">
        <v>75</v>
      </c>
      <c r="H16" s="19" t="s">
        <v>161</v>
      </c>
      <c r="J16" s="110" t="s">
        <v>36</v>
      </c>
      <c r="K16" s="110" t="s">
        <v>31</v>
      </c>
      <c r="L16" s="110" t="s">
        <v>21</v>
      </c>
      <c r="M16" s="110" t="s">
        <v>22</v>
      </c>
      <c r="N16" s="110" t="s">
        <v>23</v>
      </c>
      <c r="O16" s="110" t="s">
        <v>24</v>
      </c>
      <c r="P16" s="110" t="s">
        <v>41</v>
      </c>
      <c r="Q16" s="110" t="s">
        <v>40</v>
      </c>
      <c r="R16" s="110" t="s">
        <v>25</v>
      </c>
    </row>
    <row r="17" spans="2:18" ht="14" thickBot="1" x14ac:dyDescent="0.2">
      <c r="B17" s="18" t="s">
        <v>76</v>
      </c>
      <c r="C17" s="18"/>
      <c r="D17" s="18"/>
      <c r="E17" s="17"/>
      <c r="F17" s="17" t="str">
        <f>F2&amp;"a"</f>
        <v>M€2005a</v>
      </c>
      <c r="G17" s="17"/>
      <c r="H17" s="17" t="s">
        <v>77</v>
      </c>
      <c r="J17" s="110" t="s">
        <v>71</v>
      </c>
      <c r="K17" s="114"/>
      <c r="L17" s="114"/>
      <c r="M17" s="114"/>
      <c r="N17" s="114"/>
      <c r="O17" s="114"/>
      <c r="P17" s="114"/>
      <c r="Q17" s="114"/>
      <c r="R17" s="114"/>
    </row>
    <row r="18" spans="2:18" ht="14" x14ac:dyDescent="0.15">
      <c r="B18" s="25" t="str">
        <f>Sector_Fuels_ELC!L18</f>
        <v>FTE-ELCCOA</v>
      </c>
      <c r="C18" t="str">
        <f>RIGHT(D18,3)</f>
        <v>COA</v>
      </c>
      <c r="D18" s="25" t="str">
        <f>L5</f>
        <v>ELCCOA</v>
      </c>
      <c r="E18" s="16"/>
      <c r="F18" s="16"/>
      <c r="G18" s="71">
        <v>1</v>
      </c>
      <c r="H18" s="72">
        <v>30</v>
      </c>
      <c r="J18" s="115" t="s">
        <v>96</v>
      </c>
      <c r="K18" s="116"/>
      <c r="L18" s="111" t="str">
        <f t="shared" ref="L18:L25" si="1">"FT"&amp;$G$2&amp;"-"&amp;L5</f>
        <v>FTE-ELCCOA</v>
      </c>
      <c r="M18" s="112" t="str">
        <f t="shared" ref="M18:M25" si="2">$D$2&amp;" Technology"&amp;" "&amp;$G$1&amp;" "&amp;M5</f>
        <v>Sector Fuel Technology Existing Electricity Plants Solid Fuels</v>
      </c>
      <c r="N18" s="111" t="str">
        <f t="shared" ref="N18:N25" si="3">$E$2</f>
        <v>PJ</v>
      </c>
      <c r="O18" s="111" t="str">
        <f t="shared" ref="O18:O25" si="4">$E$2&amp;"a"</f>
        <v>PJa</v>
      </c>
      <c r="P18" s="111"/>
      <c r="Q18" s="111"/>
      <c r="R18" s="111"/>
    </row>
    <row r="19" spans="2:18" ht="14" x14ac:dyDescent="0.15">
      <c r="B19" s="25" t="str">
        <f>Sector_Fuels_ELC!L19</f>
        <v>FTE-ELCGAS</v>
      </c>
      <c r="C19" t="str">
        <f>RIGHT(D19,3)</f>
        <v>GAS</v>
      </c>
      <c r="D19" s="25" t="str">
        <f>L6</f>
        <v>ELCGAS</v>
      </c>
      <c r="E19" s="16"/>
      <c r="F19" s="16"/>
      <c r="G19" s="71">
        <v>1</v>
      </c>
      <c r="H19" s="72">
        <v>30</v>
      </c>
      <c r="J19" s="113"/>
      <c r="K19" s="116"/>
      <c r="L19" s="111" t="str">
        <f t="shared" si="1"/>
        <v>FTE-ELCGAS</v>
      </c>
      <c r="M19" s="112" t="str">
        <f t="shared" si="2"/>
        <v>Sector Fuel Technology Existing Electricity Plants Natural Gas</v>
      </c>
      <c r="N19" s="111" t="str">
        <f t="shared" si="3"/>
        <v>PJ</v>
      </c>
      <c r="O19" s="111" t="str">
        <f t="shared" si="4"/>
        <v>PJa</v>
      </c>
      <c r="P19" s="111"/>
      <c r="Q19" s="111"/>
      <c r="R19" s="111"/>
    </row>
    <row r="20" spans="2:18" ht="14" x14ac:dyDescent="0.15">
      <c r="B20" s="25" t="str">
        <f>Sector_Fuels_ELC!L20</f>
        <v>FTE-ELCOIL</v>
      </c>
      <c r="C20" t="str">
        <f>'EB1'!G$2</f>
        <v>DSL</v>
      </c>
      <c r="D20" s="25" t="str">
        <f>L7</f>
        <v>ELCOIL</v>
      </c>
      <c r="E20" s="70">
        <f>-'EB1'!G$6/-SUM('EB1'!$G$6:$M$6)</f>
        <v>4.9257354796510562E-2</v>
      </c>
      <c r="F20" s="16"/>
      <c r="G20" s="71">
        <v>1</v>
      </c>
      <c r="H20" s="72">
        <v>30</v>
      </c>
      <c r="J20" s="116"/>
      <c r="K20" s="116"/>
      <c r="L20" s="111" t="str">
        <f t="shared" si="1"/>
        <v>FTE-ELCOIL</v>
      </c>
      <c r="M20" s="112" t="str">
        <f t="shared" si="2"/>
        <v>Sector Fuel Technology Existing Electricity Plants oil</v>
      </c>
      <c r="N20" s="111" t="str">
        <f t="shared" si="3"/>
        <v>PJ</v>
      </c>
      <c r="O20" s="111" t="str">
        <f t="shared" si="4"/>
        <v>PJa</v>
      </c>
      <c r="P20" s="111"/>
      <c r="Q20" s="111"/>
      <c r="R20" s="111"/>
    </row>
    <row r="21" spans="2:18" ht="14" x14ac:dyDescent="0.15">
      <c r="B21" s="25"/>
      <c r="C21" t="str">
        <f>'EB1'!I$2</f>
        <v>LPG</v>
      </c>
      <c r="D21" s="25"/>
      <c r="E21" s="70">
        <f>-'EB1'!I$6/-SUM('EB1'!$G$6:$M$6)</f>
        <v>3.8926710484734312E-2</v>
      </c>
      <c r="F21" s="16"/>
      <c r="G21" s="71"/>
      <c r="H21" s="72"/>
      <c r="J21" s="117"/>
      <c r="K21" s="117"/>
      <c r="L21" s="111" t="str">
        <f t="shared" si="1"/>
        <v>FTE-ELCNUC</v>
      </c>
      <c r="M21" s="112" t="str">
        <f t="shared" si="2"/>
        <v>Sector Fuel Technology Existing Electricity Plants Nuclear Energy</v>
      </c>
      <c r="N21" s="111" t="str">
        <f t="shared" si="3"/>
        <v>PJ</v>
      </c>
      <c r="O21" s="111" t="str">
        <f t="shared" si="4"/>
        <v>PJa</v>
      </c>
      <c r="P21" s="117"/>
      <c r="Q21" s="117"/>
      <c r="R21" s="111"/>
    </row>
    <row r="22" spans="2:18" ht="14" x14ac:dyDescent="0.15">
      <c r="B22" s="25"/>
      <c r="C22" t="str">
        <f>'EB1'!L$2</f>
        <v>HFO</v>
      </c>
      <c r="D22" s="25"/>
      <c r="E22" s="70">
        <f>-'EB1'!L$6/-SUM('EB1'!$G$6:$M$6)</f>
        <v>0.85705723214511731</v>
      </c>
      <c r="F22" s="16"/>
      <c r="G22" s="71"/>
      <c r="H22" s="72"/>
      <c r="J22" s="111"/>
      <c r="K22" s="111"/>
      <c r="L22" s="111" t="str">
        <f t="shared" si="1"/>
        <v>FTE-ELCBIO</v>
      </c>
      <c r="M22" s="112" t="str">
        <f t="shared" si="2"/>
        <v>Sector Fuel Technology Existing Electricity Plants Biomass</v>
      </c>
      <c r="N22" s="111" t="str">
        <f t="shared" si="3"/>
        <v>PJ</v>
      </c>
      <c r="O22" s="111" t="str">
        <f t="shared" si="4"/>
        <v>PJa</v>
      </c>
      <c r="P22" s="111"/>
      <c r="Q22" s="111"/>
      <c r="R22" s="111"/>
    </row>
    <row r="23" spans="2:18" ht="14" x14ac:dyDescent="0.15">
      <c r="B23" s="25"/>
      <c r="C23" t="str">
        <f>'EB1'!M$2</f>
        <v>OPP</v>
      </c>
      <c r="D23" s="25"/>
      <c r="E23" s="70">
        <f>-'EB1'!M$6/-SUM('EB1'!$G$6:$M$6)</f>
        <v>5.4758702573637796E-2</v>
      </c>
      <c r="F23" s="16"/>
      <c r="G23" s="71"/>
      <c r="H23" s="72"/>
      <c r="J23" s="113"/>
      <c r="K23" s="113"/>
      <c r="L23" s="111" t="str">
        <f t="shared" si="1"/>
        <v>FTE-ELCHYD</v>
      </c>
      <c r="M23" s="112" t="str">
        <f t="shared" si="2"/>
        <v>Sector Fuel Technology Existing Electricity Plants Hydro power</v>
      </c>
      <c r="N23" s="111" t="str">
        <f t="shared" si="3"/>
        <v>PJ</v>
      </c>
      <c r="O23" s="111" t="str">
        <f t="shared" si="4"/>
        <v>PJa</v>
      </c>
      <c r="P23" s="111"/>
      <c r="Q23" s="113"/>
      <c r="R23" s="113"/>
    </row>
    <row r="24" spans="2:18" ht="14" x14ac:dyDescent="0.15">
      <c r="B24" s="28" t="str">
        <f>Sector_Fuels_ELC!L21</f>
        <v>FTE-ELCNUC</v>
      </c>
      <c r="C24" t="str">
        <f>RIGHT(D24,3)</f>
        <v>NUC</v>
      </c>
      <c r="D24" s="25" t="str">
        <f>L8</f>
        <v>ELCNUC</v>
      </c>
      <c r="E24" s="16"/>
      <c r="F24" s="16"/>
      <c r="G24" s="71">
        <v>1</v>
      </c>
      <c r="H24" s="72">
        <v>30</v>
      </c>
      <c r="J24" s="113"/>
      <c r="K24" s="113"/>
      <c r="L24" s="111" t="str">
        <f t="shared" si="1"/>
        <v>FTE-ELCWIN</v>
      </c>
      <c r="M24" s="112" t="str">
        <f t="shared" si="2"/>
        <v>Sector Fuel Technology Existing Electricity Plants Wind energy</v>
      </c>
      <c r="N24" s="111" t="str">
        <f t="shared" si="3"/>
        <v>PJ</v>
      </c>
      <c r="O24" s="111" t="str">
        <f t="shared" si="4"/>
        <v>PJa</v>
      </c>
      <c r="P24" s="111"/>
      <c r="Q24" s="113"/>
      <c r="R24" s="113"/>
    </row>
    <row r="25" spans="2:18" ht="14" x14ac:dyDescent="0.15">
      <c r="B25" s="28" t="str">
        <f>Sector_Fuels_ELC!L22</f>
        <v>FTE-ELCBIO</v>
      </c>
      <c r="C25" t="str">
        <f>RIGHT(D25,3)</f>
        <v>BIO</v>
      </c>
      <c r="D25" s="25" t="str">
        <f>L9</f>
        <v>ELCBIO</v>
      </c>
      <c r="E25" s="16"/>
      <c r="F25" s="16"/>
      <c r="G25" s="71">
        <v>1</v>
      </c>
      <c r="H25" s="72">
        <v>30</v>
      </c>
      <c r="J25" s="113"/>
      <c r="K25" s="113"/>
      <c r="L25" s="111" t="str">
        <f t="shared" si="1"/>
        <v>FTE-ELCSOL</v>
      </c>
      <c r="M25" s="112" t="str">
        <f t="shared" si="2"/>
        <v>Sector Fuel Technology Existing Electricity Plants Solar energy</v>
      </c>
      <c r="N25" s="111" t="str">
        <f t="shared" si="3"/>
        <v>PJ</v>
      </c>
      <c r="O25" s="111" t="str">
        <f t="shared" si="4"/>
        <v>PJa</v>
      </c>
      <c r="P25" s="113"/>
      <c r="Q25" s="113"/>
      <c r="R25" s="113"/>
    </row>
    <row r="26" spans="2:18" x14ac:dyDescent="0.15">
      <c r="B26" s="28" t="str">
        <f>Sector_Fuels_ELC!L23</f>
        <v>FTE-ELCHYD</v>
      </c>
      <c r="C26" t="str">
        <f>RIGHT(D26,3)</f>
        <v>HYD</v>
      </c>
      <c r="D26" s="25" t="str">
        <f>L10</f>
        <v>ELCHYD</v>
      </c>
      <c r="E26" s="16"/>
      <c r="F26" s="16"/>
      <c r="G26" s="71">
        <v>1</v>
      </c>
      <c r="H26" s="72">
        <v>30</v>
      </c>
    </row>
    <row r="27" spans="2:18" x14ac:dyDescent="0.15">
      <c r="B27" s="28" t="str">
        <f>Sector_Fuels_ELC!L24</f>
        <v>FTE-ELCWIN</v>
      </c>
      <c r="C27" t="str">
        <f>RIGHT(D27,3)</f>
        <v>WIN</v>
      </c>
      <c r="D27" s="25" t="str">
        <f>L11</f>
        <v>ELCWIN</v>
      </c>
      <c r="E27" s="16"/>
      <c r="F27" s="16"/>
      <c r="G27" s="71">
        <v>1</v>
      </c>
      <c r="H27" s="72">
        <v>30</v>
      </c>
    </row>
    <row r="28" spans="2:18" x14ac:dyDescent="0.15">
      <c r="B28" s="28" t="str">
        <f>Sector_Fuels_ELC!L25</f>
        <v>FTE-ELCSOL</v>
      </c>
      <c r="C28" t="str">
        <f>RIGHT(D28,3)</f>
        <v>SOL</v>
      </c>
      <c r="D28" s="25" t="str">
        <f>L12</f>
        <v>ELCSOL</v>
      </c>
      <c r="E28" s="16"/>
      <c r="F28" s="16"/>
      <c r="G28" s="71">
        <v>1</v>
      </c>
      <c r="H28" s="72">
        <v>30</v>
      </c>
    </row>
    <row r="32" spans="2:18" x14ac:dyDescent="0.15">
      <c r="B32" s="52"/>
      <c r="C32" s="1" t="s">
        <v>145</v>
      </c>
    </row>
    <row r="33" spans="2:3" x14ac:dyDescent="0.15">
      <c r="B33" s="68"/>
      <c r="C33" s="1" t="s">
        <v>146</v>
      </c>
    </row>
  </sheetData>
  <pageMargins left="0.7" right="0.7" top="0.75" bottom="0.75" header="0.3" footer="0.3"/>
  <pageSetup paperSize="9" orientation="portrait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1:AB65536"/>
  <sheetViews>
    <sheetView tabSelected="1" zoomScale="90" zoomScaleNormal="90" workbookViewId="0">
      <selection activeCell="O12" sqref="O12"/>
    </sheetView>
  </sheetViews>
  <sheetFormatPr baseColWidth="10" defaultColWidth="8.83203125" defaultRowHeight="13" x14ac:dyDescent="0.15"/>
  <cols>
    <col min="1" max="1" width="3" style="25" customWidth="1"/>
    <col min="2" max="2" width="16.5" style="25" customWidth="1"/>
    <col min="3" max="3" width="12.1640625" style="25" bestFit="1" customWidth="1"/>
    <col min="4" max="4" width="11.33203125" style="25" bestFit="1" customWidth="1"/>
    <col min="5" max="6" width="12" style="25" bestFit="1" customWidth="1"/>
    <col min="7" max="8" width="13" style="25" bestFit="1" customWidth="1"/>
    <col min="9" max="9" width="8.83203125" style="25" bestFit="1" customWidth="1"/>
    <col min="10" max="10" width="8.1640625" style="25" bestFit="1" customWidth="1"/>
    <col min="11" max="11" width="10" style="25" bestFit="1" customWidth="1"/>
    <col min="12" max="12" width="9.83203125" style="25" bestFit="1" customWidth="1"/>
    <col min="13" max="14" width="8.83203125" style="25" bestFit="1" customWidth="1"/>
    <col min="15" max="15" width="15" style="25" bestFit="1" customWidth="1"/>
    <col min="16" max="16" width="13.33203125" style="25" bestFit="1" customWidth="1"/>
    <col min="17" max="17" width="2" style="25" bestFit="1" customWidth="1"/>
    <col min="18" max="18" width="13.5" style="25" bestFit="1" customWidth="1"/>
    <col min="19" max="19" width="2.1640625" style="27" bestFit="1" customWidth="1"/>
    <col min="20" max="20" width="12.5" bestFit="1" customWidth="1"/>
    <col min="21" max="21" width="7.5" bestFit="1" customWidth="1"/>
    <col min="22" max="22" width="14.5" bestFit="1" customWidth="1"/>
    <col min="23" max="23" width="43.33203125" bestFit="1" customWidth="1"/>
    <col min="24" max="24" width="6.33203125" customWidth="1"/>
    <col min="25" max="25" width="11.5" bestFit="1" customWidth="1"/>
    <col min="26" max="26" width="13.5" bestFit="1" customWidth="1"/>
    <col min="27" max="27" width="15" bestFit="1" customWidth="1"/>
    <col min="28" max="28" width="8.1640625" bestFit="1" customWidth="1"/>
    <col min="29" max="16384" width="8.83203125" style="25"/>
  </cols>
  <sheetData>
    <row r="1" spans="2:28" ht="16" x14ac:dyDescent="0.2">
      <c r="B1" s="24" t="s">
        <v>65</v>
      </c>
      <c r="C1" s="12" t="s">
        <v>67</v>
      </c>
      <c r="D1" s="12" t="s">
        <v>98</v>
      </c>
      <c r="E1" s="24" t="s">
        <v>23</v>
      </c>
      <c r="F1" s="24" t="s">
        <v>100</v>
      </c>
      <c r="G1" s="24" t="s">
        <v>69</v>
      </c>
      <c r="H1" s="24" t="s">
        <v>84</v>
      </c>
    </row>
    <row r="2" spans="2:28" ht="34" x14ac:dyDescent="0.2">
      <c r="B2" s="14" t="str">
        <f>'EB1'!B6</f>
        <v>ELC</v>
      </c>
      <c r="C2" s="22" t="str">
        <f>'EB1'!C6</f>
        <v>Electricity Plants</v>
      </c>
      <c r="D2" s="22" t="s">
        <v>101</v>
      </c>
      <c r="E2" s="14" t="str">
        <f>'EB1'!Z2</f>
        <v>PJ</v>
      </c>
      <c r="F2" s="14" t="s">
        <v>102</v>
      </c>
      <c r="G2" s="14" t="str">
        <f>'EB1'!Y2</f>
        <v>M€2005</v>
      </c>
      <c r="H2" s="14" t="s">
        <v>85</v>
      </c>
      <c r="T2" s="106" t="s">
        <v>14</v>
      </c>
      <c r="U2" s="106"/>
      <c r="V2" s="107"/>
      <c r="W2" s="107"/>
      <c r="X2" s="107"/>
      <c r="Y2" s="107"/>
      <c r="Z2" s="107"/>
      <c r="AA2" s="107"/>
      <c r="AB2" s="107"/>
    </row>
    <row r="3" spans="2:28" x14ac:dyDescent="0.15">
      <c r="T3" s="108" t="s">
        <v>7</v>
      </c>
      <c r="U3" s="109" t="s">
        <v>30</v>
      </c>
      <c r="V3" s="108" t="s">
        <v>0</v>
      </c>
      <c r="W3" s="108" t="s">
        <v>3</v>
      </c>
      <c r="X3" s="108" t="s">
        <v>4</v>
      </c>
      <c r="Y3" s="108" t="s">
        <v>8</v>
      </c>
      <c r="Z3" s="108" t="s">
        <v>9</v>
      </c>
      <c r="AA3" s="108" t="s">
        <v>10</v>
      </c>
      <c r="AB3" s="108" t="s">
        <v>12</v>
      </c>
    </row>
    <row r="4" spans="2:28" s="26" customFormat="1" ht="26" thickBot="1" x14ac:dyDescent="0.25">
      <c r="B4" s="33" t="s">
        <v>108</v>
      </c>
      <c r="C4" s="12" t="s">
        <v>115</v>
      </c>
      <c r="D4" s="12" t="s">
        <v>109</v>
      </c>
      <c r="E4" s="12" t="s">
        <v>110</v>
      </c>
      <c r="F4" s="12" t="s">
        <v>123</v>
      </c>
      <c r="H4" s="13"/>
      <c r="K4" s="13"/>
      <c r="S4" s="27"/>
      <c r="T4" s="110" t="s">
        <v>35</v>
      </c>
      <c r="U4" s="110" t="s">
        <v>31</v>
      </c>
      <c r="V4" s="110" t="s">
        <v>26</v>
      </c>
      <c r="W4" s="110" t="s">
        <v>27</v>
      </c>
      <c r="X4" s="110" t="s">
        <v>4</v>
      </c>
      <c r="Y4" s="110" t="s">
        <v>38</v>
      </c>
      <c r="Z4" s="110" t="s">
        <v>39</v>
      </c>
      <c r="AA4" s="110" t="s">
        <v>28</v>
      </c>
      <c r="AB4" s="110" t="s">
        <v>29</v>
      </c>
    </row>
    <row r="5" spans="2:28" s="26" customFormat="1" ht="16" x14ac:dyDescent="0.2">
      <c r="B5" s="32" t="s">
        <v>114</v>
      </c>
      <c r="C5" s="14" t="s">
        <v>113</v>
      </c>
      <c r="D5" s="14" t="s">
        <v>112</v>
      </c>
      <c r="E5" s="14" t="s">
        <v>111</v>
      </c>
      <c r="F5" s="14" t="s">
        <v>86</v>
      </c>
      <c r="H5" s="13"/>
      <c r="K5" s="13"/>
      <c r="S5" s="27"/>
      <c r="T5" s="115" t="s">
        <v>64</v>
      </c>
      <c r="U5" s="111"/>
      <c r="V5" s="115" t="str">
        <f>'EB1'!$U$2</f>
        <v>ELC</v>
      </c>
      <c r="W5" s="115" t="str">
        <f>'EB1'!$U$3</f>
        <v>Electricity</v>
      </c>
      <c r="X5" s="115" t="str">
        <f>$E$2</f>
        <v>PJ</v>
      </c>
      <c r="Y5" s="115"/>
      <c r="Z5" s="115" t="s">
        <v>117</v>
      </c>
      <c r="AA5" s="115"/>
      <c r="AB5" s="115" t="s">
        <v>48</v>
      </c>
    </row>
    <row r="6" spans="2:28" x14ac:dyDescent="0.15">
      <c r="T6" s="113" t="s">
        <v>89</v>
      </c>
      <c r="U6" s="113"/>
      <c r="V6" s="113" t="str">
        <f>$B$2&amp;'EB1'!$C$15</f>
        <v>ELCCO2</v>
      </c>
      <c r="W6" s="113" t="str">
        <f>$C$2&amp;" "&amp;'EB1'!$C$16</f>
        <v>Electricity Plants Carbon dioxide</v>
      </c>
      <c r="X6" s="113" t="str">
        <f>'EB1'!$AA$2</f>
        <v>kt</v>
      </c>
      <c r="Y6" s="113"/>
      <c r="Z6" s="113"/>
      <c r="AA6" s="113"/>
      <c r="AB6" s="113"/>
    </row>
    <row r="7" spans="2:28" x14ac:dyDescent="0.15">
      <c r="T7" s="2"/>
      <c r="U7" s="2"/>
    </row>
    <row r="8" spans="2:28" x14ac:dyDescent="0.15">
      <c r="D8" s="4" t="s">
        <v>13</v>
      </c>
      <c r="E8" s="4"/>
      <c r="F8" s="4"/>
      <c r="G8" s="4"/>
      <c r="H8" s="4"/>
      <c r="I8" s="4"/>
      <c r="L8" s="5"/>
      <c r="M8" s="5"/>
      <c r="N8" s="3"/>
      <c r="Q8" s="26"/>
      <c r="T8" s="106" t="s">
        <v>15</v>
      </c>
      <c r="U8" s="106"/>
      <c r="V8" s="107"/>
      <c r="W8" s="107"/>
      <c r="X8" s="107"/>
      <c r="Y8" s="107"/>
      <c r="Z8" s="107"/>
      <c r="AA8" s="107"/>
      <c r="AB8" s="107"/>
    </row>
    <row r="9" spans="2:28" ht="12.75" customHeight="1" x14ac:dyDescent="0.15">
      <c r="B9" s="21" t="s">
        <v>1</v>
      </c>
      <c r="C9" s="21" t="s">
        <v>5</v>
      </c>
      <c r="D9" s="21" t="s">
        <v>6</v>
      </c>
      <c r="E9" s="21" t="s">
        <v>165</v>
      </c>
      <c r="F9" s="21" t="s">
        <v>166</v>
      </c>
      <c r="G9" s="80" t="s">
        <v>124</v>
      </c>
      <c r="H9" s="80" t="s">
        <v>149</v>
      </c>
      <c r="I9" s="80" t="s">
        <v>73</v>
      </c>
      <c r="J9" s="80" t="s">
        <v>82</v>
      </c>
      <c r="K9" s="80" t="s">
        <v>163</v>
      </c>
      <c r="L9" s="80" t="s">
        <v>72</v>
      </c>
      <c r="M9" s="80" t="s">
        <v>104</v>
      </c>
      <c r="N9" s="80" t="s">
        <v>70</v>
      </c>
      <c r="O9" s="80" t="s">
        <v>162</v>
      </c>
      <c r="P9" s="80" t="s">
        <v>119</v>
      </c>
      <c r="Q9" s="30"/>
      <c r="R9" s="101" t="s">
        <v>116</v>
      </c>
      <c r="S9" s="35"/>
      <c r="T9" s="108" t="s">
        <v>11</v>
      </c>
      <c r="U9" s="109" t="s">
        <v>30</v>
      </c>
      <c r="V9" s="108" t="s">
        <v>1</v>
      </c>
      <c r="W9" s="108" t="s">
        <v>2</v>
      </c>
      <c r="X9" s="108" t="s">
        <v>16</v>
      </c>
      <c r="Y9" s="108" t="s">
        <v>17</v>
      </c>
      <c r="Z9" s="108" t="s">
        <v>18</v>
      </c>
      <c r="AA9" s="108" t="s">
        <v>19</v>
      </c>
      <c r="AB9" s="108" t="s">
        <v>20</v>
      </c>
    </row>
    <row r="10" spans="2:28" ht="25" thickBot="1" x14ac:dyDescent="0.2">
      <c r="B10" s="19" t="s">
        <v>37</v>
      </c>
      <c r="C10" s="19" t="s">
        <v>32</v>
      </c>
      <c r="D10" s="19" t="s">
        <v>33</v>
      </c>
      <c r="E10" s="19" t="s">
        <v>167</v>
      </c>
      <c r="F10" s="19" t="s">
        <v>167</v>
      </c>
      <c r="G10" s="19" t="s">
        <v>34</v>
      </c>
      <c r="H10" s="86" t="s">
        <v>121</v>
      </c>
      <c r="I10" s="19" t="s">
        <v>75</v>
      </c>
      <c r="J10" s="86" t="s">
        <v>83</v>
      </c>
      <c r="K10" s="19" t="s">
        <v>164</v>
      </c>
      <c r="L10" s="19" t="s">
        <v>81</v>
      </c>
      <c r="M10" s="19" t="s">
        <v>106</v>
      </c>
      <c r="N10" s="19" t="s">
        <v>161</v>
      </c>
      <c r="O10" s="19" t="s">
        <v>107</v>
      </c>
      <c r="P10" s="19" t="s">
        <v>120</v>
      </c>
      <c r="Q10" s="26"/>
      <c r="R10" s="38" t="s">
        <v>105</v>
      </c>
      <c r="S10" s="36"/>
      <c r="T10" s="110" t="s">
        <v>36</v>
      </c>
      <c r="U10" s="110" t="s">
        <v>31</v>
      </c>
      <c r="V10" s="110" t="s">
        <v>21</v>
      </c>
      <c r="W10" s="110" t="s">
        <v>22</v>
      </c>
      <c r="X10" s="110" t="s">
        <v>23</v>
      </c>
      <c r="Y10" s="110" t="s">
        <v>24</v>
      </c>
      <c r="Z10" s="110" t="s">
        <v>41</v>
      </c>
      <c r="AA10" s="110" t="s">
        <v>40</v>
      </c>
      <c r="AB10" s="110" t="s">
        <v>25</v>
      </c>
    </row>
    <row r="11" spans="2:28" ht="14" thickBot="1" x14ac:dyDescent="0.2">
      <c r="B11" s="18" t="s">
        <v>76</v>
      </c>
      <c r="C11" s="18"/>
      <c r="D11" s="18"/>
      <c r="E11" s="105" t="str">
        <f>$F$2</f>
        <v>GW</v>
      </c>
      <c r="F11" s="105" t="str">
        <f>$F$2</f>
        <v>GW</v>
      </c>
      <c r="G11" s="17" t="str">
        <f>$F$2</f>
        <v>GW</v>
      </c>
      <c r="H11" s="81" t="str">
        <f>$F$2</f>
        <v>GW</v>
      </c>
      <c r="I11" s="17"/>
      <c r="J11" s="81"/>
      <c r="K11" s="17" t="str">
        <f>$G$2&amp;"/"&amp;$F$2</f>
        <v>M€2005/GW</v>
      </c>
      <c r="L11" s="17" t="str">
        <f>$G$2&amp;"/"&amp;$F$2</f>
        <v>M€2005/GW</v>
      </c>
      <c r="M11" s="17" t="str">
        <f>$G$2&amp;"/"&amp;$E$2</f>
        <v>M€2005/PJ</v>
      </c>
      <c r="N11" s="17" t="s">
        <v>77</v>
      </c>
      <c r="O11" s="17" t="str">
        <f>$E$2&amp;"/"&amp;$F$2</f>
        <v>PJ/GW</v>
      </c>
      <c r="P11" s="17"/>
      <c r="Q11" s="26"/>
      <c r="R11" s="102" t="s">
        <v>122</v>
      </c>
      <c r="S11" s="36"/>
      <c r="T11" s="110" t="s">
        <v>71</v>
      </c>
      <c r="U11" s="110"/>
      <c r="V11" s="110"/>
      <c r="W11" s="110"/>
      <c r="X11" s="110"/>
      <c r="Y11" s="110"/>
      <c r="Z11" s="110"/>
      <c r="AA11" s="110"/>
      <c r="AB11" s="110"/>
    </row>
    <row r="12" spans="2:28" ht="14" x14ac:dyDescent="0.15">
      <c r="B12" s="25" t="str">
        <f t="shared" ref="B12:B19" si="0">V12</f>
        <v>ELCTECOA00</v>
      </c>
      <c r="C12" s="25" t="str">
        <f>$B$2&amp;RIGHT(Sector_Fuels_ELC!L5,3)</f>
        <v>ELCCOA</v>
      </c>
      <c r="D12" s="25" t="str">
        <f t="shared" ref="D12:D19" si="1">$V$5</f>
        <v>ELC</v>
      </c>
      <c r="G12" s="98">
        <f>(-'EB1'!$D$6*$I$12)/($J$12*$O$12)</f>
        <v>89.372771062763022</v>
      </c>
      <c r="H12" s="69"/>
      <c r="I12" s="76">
        <v>0.38400000000000001</v>
      </c>
      <c r="J12" s="76">
        <v>0.85</v>
      </c>
      <c r="K12" s="75"/>
      <c r="L12" s="76">
        <v>40</v>
      </c>
      <c r="M12" s="76">
        <v>0.5</v>
      </c>
      <c r="N12" s="75">
        <v>30</v>
      </c>
      <c r="O12" s="75">
        <v>31.536000000000001</v>
      </c>
      <c r="P12" s="76">
        <v>1</v>
      </c>
      <c r="Q12" s="26"/>
      <c r="R12" s="34">
        <f t="shared" ref="R12:R19" si="2">G12*$J12*$O12</f>
        <v>2395.6907520000004</v>
      </c>
      <c r="S12" s="100"/>
      <c r="T12" s="111" t="s">
        <v>103</v>
      </c>
      <c r="U12" s="111"/>
      <c r="V12" s="111" t="str">
        <f>$B$2&amp;$C$5&amp;$H$2&amp;RIGHT(Sector_Fuels_ELC!$L$5,3)&amp;"00"</f>
        <v>ELCTECOA00</v>
      </c>
      <c r="W12" s="112" t="str">
        <f>$D$2&amp;" "&amp;$H$1&amp;RIGHT(V12,2)&amp;" - "&amp;'EB1'!D3</f>
        <v>Power Plants Existing00 - Solid Fuels</v>
      </c>
      <c r="X12" s="111" t="str">
        <f t="shared" ref="X12:X19" si="3">$E$2</f>
        <v>PJ</v>
      </c>
      <c r="Y12" s="111" t="str">
        <f t="shared" ref="Y12:Y19" si="4">$F$2</f>
        <v>GW</v>
      </c>
      <c r="Z12" s="115" t="s">
        <v>118</v>
      </c>
      <c r="AA12" s="111"/>
      <c r="AB12" s="111"/>
    </row>
    <row r="13" spans="2:28" ht="14" x14ac:dyDescent="0.15">
      <c r="B13" s="25" t="str">
        <f t="shared" si="0"/>
        <v>ELCTEGAS00</v>
      </c>
      <c r="C13" s="25" t="str">
        <f>$B$2&amp;RIGHT(Sector_Fuels_ELC!L6,3)</f>
        <v>ELCGAS</v>
      </c>
      <c r="D13" s="25" t="str">
        <f t="shared" si="1"/>
        <v>ELC</v>
      </c>
      <c r="G13" s="98">
        <f>(-'EB1'!$E$6*$I$13)/($J$13*$O$13)</f>
        <v>41.450437783149788</v>
      </c>
      <c r="H13" s="69"/>
      <c r="I13" s="94">
        <v>0.4929</v>
      </c>
      <c r="J13" s="76">
        <v>0.85</v>
      </c>
      <c r="K13" s="75"/>
      <c r="L13" s="76">
        <v>35</v>
      </c>
      <c r="M13" s="76">
        <v>0.4</v>
      </c>
      <c r="N13" s="75">
        <v>20</v>
      </c>
      <c r="O13" s="75">
        <v>31.536000000000001</v>
      </c>
      <c r="P13" s="76">
        <v>1</v>
      </c>
      <c r="Q13" s="26"/>
      <c r="R13" s="34">
        <f t="shared" si="2"/>
        <v>1111.1038550399999</v>
      </c>
      <c r="S13" s="37"/>
      <c r="T13" s="111"/>
      <c r="U13" s="111"/>
      <c r="V13" s="111" t="str">
        <f>$B$2&amp;$C$5&amp;$H$2&amp;RIGHT(Sector_Fuels_ELC!$L$6,3)&amp;"00"</f>
        <v>ELCTEGAS00</v>
      </c>
      <c r="W13" s="112" t="str">
        <f>$D$2&amp;" "&amp;$H$1&amp;RIGHT(V13,2)&amp;" - "&amp;'EB1'!E3</f>
        <v>Power Plants Existing00 - Natural Gas</v>
      </c>
      <c r="X13" s="111" t="str">
        <f t="shared" si="3"/>
        <v>PJ</v>
      </c>
      <c r="Y13" s="111" t="str">
        <f t="shared" si="4"/>
        <v>GW</v>
      </c>
      <c r="Z13" s="111"/>
      <c r="AA13" s="111"/>
      <c r="AB13" s="111"/>
    </row>
    <row r="14" spans="2:28" ht="14" x14ac:dyDescent="0.15">
      <c r="B14" s="25" t="str">
        <f t="shared" si="0"/>
        <v>ELCTEOIL00</v>
      </c>
      <c r="C14" s="25" t="str">
        <f>$B$2&amp;RIGHT(Sector_Fuels_ELC!L7,3)</f>
        <v>ELCOIL</v>
      </c>
      <c r="D14" s="25" t="str">
        <f t="shared" si="1"/>
        <v>ELC</v>
      </c>
      <c r="G14" s="98">
        <f>((-SUM('EB1'!G6:M6)*$I$14)/($J$14*$O$14))</f>
        <v>5.710602448742053</v>
      </c>
      <c r="H14" s="69"/>
      <c r="I14" s="94">
        <v>0.25</v>
      </c>
      <c r="J14" s="94">
        <v>0.85</v>
      </c>
      <c r="K14" s="93"/>
      <c r="L14" s="94">
        <v>20</v>
      </c>
      <c r="M14" s="94">
        <v>0.2</v>
      </c>
      <c r="N14" s="93">
        <v>30</v>
      </c>
      <c r="O14" s="75">
        <v>31.536000000000001</v>
      </c>
      <c r="P14" s="76">
        <v>1</v>
      </c>
      <c r="Q14" s="26"/>
      <c r="R14" s="34">
        <f t="shared" si="2"/>
        <v>153.07612499999996</v>
      </c>
      <c r="S14" s="37"/>
      <c r="T14" s="111"/>
      <c r="U14" s="111"/>
      <c r="V14" s="111" t="str">
        <f>$B$2&amp;$C$5&amp;$H$2&amp;RIGHT(Sector_Fuels_ELC!$L$7,3)&amp;"00"</f>
        <v>ELCTEOIL00</v>
      </c>
      <c r="W14" s="112" t="str">
        <f>$D$2&amp;" "&amp;$H$1&amp;RIGHT(V14,2)&amp;" - "&amp;'EB1'!F3</f>
        <v>Power Plants Existing00 - Crude oil</v>
      </c>
      <c r="X14" s="111" t="str">
        <f t="shared" si="3"/>
        <v>PJ</v>
      </c>
      <c r="Y14" s="111" t="str">
        <f t="shared" si="4"/>
        <v>GW</v>
      </c>
      <c r="Z14" s="111"/>
      <c r="AA14" s="111"/>
      <c r="AB14" s="111"/>
    </row>
    <row r="15" spans="2:28" x14ac:dyDescent="0.15">
      <c r="B15" s="28" t="str">
        <f t="shared" si="0"/>
        <v>ELCNENUC00</v>
      </c>
      <c r="C15" s="25" t="str">
        <f>$B$2&amp;RIGHT(Sector_Fuels_ELC!L8,3)</f>
        <v>ELCNUC</v>
      </c>
      <c r="D15" s="28" t="str">
        <f t="shared" si="1"/>
        <v>ELC</v>
      </c>
      <c r="E15" s="28"/>
      <c r="F15" s="28"/>
      <c r="G15" s="99">
        <f>(-'EB1'!$N$6*$I$15)/($J$15*$O$15)</f>
        <v>51.797945205479458</v>
      </c>
      <c r="H15" s="99">
        <f>G15</f>
        <v>51.797945205479458</v>
      </c>
      <c r="I15" s="93">
        <v>0.33</v>
      </c>
      <c r="J15" s="94">
        <v>0.9</v>
      </c>
      <c r="K15" s="93"/>
      <c r="L15" s="94">
        <v>38</v>
      </c>
      <c r="M15" s="93">
        <v>0.27</v>
      </c>
      <c r="N15" s="74"/>
      <c r="O15" s="93">
        <v>31.536000000000001</v>
      </c>
      <c r="P15" s="94">
        <v>1</v>
      </c>
      <c r="Q15" s="28"/>
      <c r="R15" s="34">
        <f t="shared" si="2"/>
        <v>1470.1500000000003</v>
      </c>
      <c r="S15" s="37"/>
      <c r="T15" s="111"/>
      <c r="U15" s="111"/>
      <c r="V15" s="111" t="str">
        <f>$B$2&amp;$F$5&amp;$H$2&amp;RIGHT(Sector_Fuels_ELC!$L$8,3)&amp;"00"</f>
        <v>ELCNENUC00</v>
      </c>
      <c r="W15" s="118" t="str">
        <f>$D$2&amp;" "&amp;$H$1&amp;RIGHT(V15,2)&amp;" - "&amp;'EB1'!N3</f>
        <v>Power Plants Existing00 - Nuclear Energy</v>
      </c>
      <c r="X15" s="111" t="str">
        <f t="shared" si="3"/>
        <v>PJ</v>
      </c>
      <c r="Y15" s="111" t="str">
        <f t="shared" si="4"/>
        <v>GW</v>
      </c>
      <c r="Z15" s="115" t="s">
        <v>118</v>
      </c>
      <c r="AA15" s="111"/>
      <c r="AB15" s="111"/>
    </row>
    <row r="16" spans="2:28" x14ac:dyDescent="0.15">
      <c r="B16" s="28" t="str">
        <f t="shared" si="0"/>
        <v>ELCREBIO00</v>
      </c>
      <c r="C16" s="25" t="str">
        <f>$B$2&amp;RIGHT(Sector_Fuels_ELC!L9,3)</f>
        <v>ELCBIO</v>
      </c>
      <c r="D16" s="28" t="str">
        <f t="shared" si="1"/>
        <v>ELC</v>
      </c>
      <c r="E16" s="28"/>
      <c r="F16" s="28"/>
      <c r="G16" s="99">
        <f>(-'EB1'!$O$6*$I$16)/($J$16*$O$16)</f>
        <v>7.8023302733384083</v>
      </c>
      <c r="H16" s="92"/>
      <c r="I16" s="73">
        <v>0.28000000000000003</v>
      </c>
      <c r="J16" s="73">
        <v>0.6</v>
      </c>
      <c r="K16" s="73"/>
      <c r="L16" s="74">
        <v>25</v>
      </c>
      <c r="M16" s="73">
        <v>0.35</v>
      </c>
      <c r="N16" s="74">
        <v>25</v>
      </c>
      <c r="O16" s="93">
        <v>31.536000000000001</v>
      </c>
      <c r="P16" s="94">
        <v>1</v>
      </c>
      <c r="Q16" s="28"/>
      <c r="R16" s="34">
        <f t="shared" si="2"/>
        <v>147.63257250000001</v>
      </c>
      <c r="S16" s="37"/>
      <c r="T16" s="111"/>
      <c r="U16" s="111"/>
      <c r="V16" s="111" t="str">
        <f>$B$2&amp;$E$5&amp;$H$2&amp;RIGHT(Sector_Fuels_ELC!$L$9,3)&amp;"00"</f>
        <v>ELCREBIO00</v>
      </c>
      <c r="W16" s="118" t="str">
        <f>$D$2&amp;" "&amp;$H$1&amp;RIGHT(V16,2)&amp;" - "&amp;'EB1'!O3</f>
        <v>Power Plants Existing00 - Biomass</v>
      </c>
      <c r="X16" s="111" t="str">
        <f t="shared" si="3"/>
        <v>PJ</v>
      </c>
      <c r="Y16" s="111" t="str">
        <f t="shared" si="4"/>
        <v>GW</v>
      </c>
      <c r="Z16" s="115"/>
      <c r="AA16" s="111"/>
      <c r="AB16" s="111"/>
    </row>
    <row r="17" spans="2:28" x14ac:dyDescent="0.15">
      <c r="B17" s="28" t="str">
        <f t="shared" si="0"/>
        <v>ELCREHYD00</v>
      </c>
      <c r="C17" s="25" t="str">
        <f>$B$2&amp;RIGHT(Sector_Fuels_ELC!L10,3)</f>
        <v>ELCHYD</v>
      </c>
      <c r="D17" s="28" t="str">
        <f t="shared" si="1"/>
        <v>ELC</v>
      </c>
      <c r="E17" s="74">
        <v>15</v>
      </c>
      <c r="F17" s="74">
        <v>16</v>
      </c>
      <c r="G17" s="103"/>
      <c r="H17" s="104"/>
      <c r="I17" s="73">
        <v>1</v>
      </c>
      <c r="J17" s="73">
        <v>0.5</v>
      </c>
      <c r="K17" s="73"/>
      <c r="L17" s="74">
        <v>50</v>
      </c>
      <c r="M17" s="73">
        <v>2</v>
      </c>
      <c r="N17" s="74">
        <v>50</v>
      </c>
      <c r="O17" s="93">
        <v>31.536000000000001</v>
      </c>
      <c r="P17" s="94">
        <v>0.5</v>
      </c>
      <c r="Q17" s="28"/>
      <c r="R17" s="34">
        <f>(E17+F17)*$J17*$O17</f>
        <v>488.80799999999999</v>
      </c>
      <c r="S17" s="37"/>
      <c r="T17" s="111"/>
      <c r="U17" s="111"/>
      <c r="V17" s="111" t="str">
        <f>$B$2&amp;$E$5&amp;$H$2&amp;RIGHT(Sector_Fuels_ELC!$L$10,3)&amp;"00"</f>
        <v>ELCREHYD00</v>
      </c>
      <c r="W17" s="118" t="str">
        <f>$D$2&amp;" "&amp;$H$1&amp;RIGHT(V17,2)&amp;" - "&amp;'EB1'!P3</f>
        <v>Power Plants Existing00 - Hydro power</v>
      </c>
      <c r="X17" s="111" t="str">
        <f t="shared" si="3"/>
        <v>PJ</v>
      </c>
      <c r="Y17" s="111" t="str">
        <f t="shared" si="4"/>
        <v>GW</v>
      </c>
      <c r="Z17" s="111"/>
      <c r="AA17" s="111"/>
      <c r="AB17" s="111"/>
    </row>
    <row r="18" spans="2:28" x14ac:dyDescent="0.15">
      <c r="B18" s="28" t="str">
        <f t="shared" si="0"/>
        <v>ELCREWIN00</v>
      </c>
      <c r="C18" s="25" t="str">
        <f>$B$2&amp;RIGHT(Sector_Fuels_ELC!L11,3)</f>
        <v>ELCWIN</v>
      </c>
      <c r="D18" s="28" t="str">
        <f t="shared" si="1"/>
        <v>ELC</v>
      </c>
      <c r="E18" s="28"/>
      <c r="F18" s="28"/>
      <c r="G18" s="99">
        <f>(-'EB1'!$Q$6*$I$18)/($J$18*$O$18)</f>
        <v>23.908866057838662</v>
      </c>
      <c r="H18" s="92"/>
      <c r="I18" s="73">
        <v>1</v>
      </c>
      <c r="J18" s="73">
        <v>0.35</v>
      </c>
      <c r="K18" s="73"/>
      <c r="L18" s="74">
        <v>35</v>
      </c>
      <c r="M18" s="73">
        <v>0.5</v>
      </c>
      <c r="N18" s="74">
        <v>20</v>
      </c>
      <c r="O18" s="93">
        <v>31.536000000000001</v>
      </c>
      <c r="P18" s="94">
        <v>0.3</v>
      </c>
      <c r="Q18" s="28"/>
      <c r="R18" s="34">
        <f t="shared" si="2"/>
        <v>263.8965</v>
      </c>
      <c r="S18" s="37"/>
      <c r="T18" s="111"/>
      <c r="U18" s="111"/>
      <c r="V18" s="111" t="str">
        <f>$B$2&amp;$E$5&amp;$H$2&amp;RIGHT(Sector_Fuels_ELC!$L$11,3)&amp;"00"</f>
        <v>ELCREWIN00</v>
      </c>
      <c r="W18" s="118" t="str">
        <f>$D$2&amp;" "&amp;$H$1&amp;RIGHT(V18,2)&amp;" - "&amp;'EB1'!Q3</f>
        <v>Power Plants Existing00 - Wind energy</v>
      </c>
      <c r="X18" s="111" t="str">
        <f t="shared" si="3"/>
        <v>PJ</v>
      </c>
      <c r="Y18" s="111" t="str">
        <f t="shared" si="4"/>
        <v>GW</v>
      </c>
      <c r="Z18" s="111"/>
      <c r="AA18" s="111"/>
      <c r="AB18" s="111"/>
    </row>
    <row r="19" spans="2:28" x14ac:dyDescent="0.15">
      <c r="B19" s="28" t="str">
        <f t="shared" si="0"/>
        <v>ELCRESOL00</v>
      </c>
      <c r="C19" s="25" t="str">
        <f>$B$2&amp;RIGHT(Sector_Fuels_ELC!L12,3)</f>
        <v>ELCSOL</v>
      </c>
      <c r="D19" s="28" t="str">
        <f t="shared" si="1"/>
        <v>ELC</v>
      </c>
      <c r="E19" s="28"/>
      <c r="F19" s="28"/>
      <c r="G19" s="99">
        <f>(-'EB1'!$R$6*$I$19)/($J$19*$O$19)</f>
        <v>7.1875528496533061</v>
      </c>
      <c r="H19" s="92"/>
      <c r="I19" s="73">
        <v>1</v>
      </c>
      <c r="J19" s="73">
        <v>0.3</v>
      </c>
      <c r="K19" s="73"/>
      <c r="L19" s="74">
        <v>60</v>
      </c>
      <c r="M19" s="73"/>
      <c r="N19" s="74">
        <v>15</v>
      </c>
      <c r="O19" s="93">
        <v>31.536000000000001</v>
      </c>
      <c r="P19" s="94">
        <v>0.2</v>
      </c>
      <c r="Q19" s="28"/>
      <c r="R19" s="34">
        <f t="shared" si="2"/>
        <v>68</v>
      </c>
      <c r="S19" s="37"/>
      <c r="T19" s="111"/>
      <c r="U19" s="111"/>
      <c r="V19" s="111" t="str">
        <f>$B$2&amp;$E$5&amp;$H$2&amp;RIGHT(Sector_Fuels_ELC!$L$12,3)&amp;"00"</f>
        <v>ELCRESOL00</v>
      </c>
      <c r="W19" s="118" t="str">
        <f>$D$2&amp;" "&amp;$H$1&amp;RIGHT(V19,2)&amp;" - "&amp;'EB1'!R3</f>
        <v>Power Plants Existing00 - Solar energy</v>
      </c>
      <c r="X19" s="111" t="str">
        <f t="shared" si="3"/>
        <v>PJ</v>
      </c>
      <c r="Y19" s="111" t="str">
        <f t="shared" si="4"/>
        <v>GW</v>
      </c>
      <c r="Z19" s="111"/>
      <c r="AA19" s="111"/>
      <c r="AB19" s="111"/>
    </row>
    <row r="21" spans="2:28" x14ac:dyDescent="0.15">
      <c r="R21" s="97"/>
    </row>
    <row r="22" spans="2:28" x14ac:dyDescent="0.15">
      <c r="R22" s="97"/>
    </row>
    <row r="23" spans="2:28" x14ac:dyDescent="0.15">
      <c r="B23" s="52"/>
      <c r="C23" s="1" t="s">
        <v>145</v>
      </c>
      <c r="R23" s="97"/>
    </row>
    <row r="24" spans="2:28" x14ac:dyDescent="0.15">
      <c r="B24" s="68"/>
      <c r="C24" s="1" t="s">
        <v>146</v>
      </c>
      <c r="R24" s="97"/>
    </row>
    <row r="25" spans="2:28" x14ac:dyDescent="0.15">
      <c r="R25" s="97"/>
    </row>
    <row r="65536" spans="19:19" x14ac:dyDescent="0.15">
      <c r="S65536" s="37"/>
    </row>
  </sheetData>
  <pageMargins left="0.7" right="0.7" top="0.75" bottom="0.75" header="0.3" footer="0.3"/>
  <pageSetup paperSize="9" orientation="portrait" verticalDpi="0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J24"/>
  <sheetViews>
    <sheetView workbookViewId="0">
      <selection activeCell="E35" sqref="E35"/>
    </sheetView>
  </sheetViews>
  <sheetFormatPr baseColWidth="10" defaultRowHeight="13" x14ac:dyDescent="0.15"/>
  <cols>
    <col min="1" max="1" width="8.83203125" customWidth="1"/>
    <col min="2" max="2" width="14.5" customWidth="1"/>
    <col min="3" max="256" width="8.83203125" customWidth="1"/>
  </cols>
  <sheetData>
    <row r="3" spans="2:10" ht="17.5" customHeight="1" x14ac:dyDescent="0.2">
      <c r="B3" s="42" t="s">
        <v>151</v>
      </c>
      <c r="C3" s="42"/>
      <c r="D3" s="42"/>
      <c r="E3" s="42"/>
      <c r="F3" s="42"/>
      <c r="G3" s="42"/>
      <c r="H3" s="42"/>
      <c r="I3" s="42"/>
      <c r="J3" s="42"/>
    </row>
    <row r="4" spans="2:10" s="6" customFormat="1" ht="17.5" customHeight="1" x14ac:dyDescent="0.2">
      <c r="B4" s="43"/>
      <c r="C4" s="43"/>
      <c r="D4" s="43"/>
      <c r="E4" s="43"/>
      <c r="F4" s="43"/>
      <c r="G4" s="43"/>
    </row>
    <row r="5" spans="2:10" ht="18" x14ac:dyDescent="0.2">
      <c r="B5" s="40" t="s">
        <v>139</v>
      </c>
      <c r="C5" s="41"/>
      <c r="F5" s="31"/>
      <c r="G5" s="31"/>
    </row>
    <row r="6" spans="2:10" ht="14" thickBot="1" x14ac:dyDescent="0.2">
      <c r="B6" s="45" t="s">
        <v>0</v>
      </c>
      <c r="C6" s="45" t="str">
        <f>Sector_Fuels_ELC!$L$5</f>
        <v>ELCCOA</v>
      </c>
      <c r="D6" s="45" t="str">
        <f>Sector_Fuels_ELC!$L$6</f>
        <v>ELCGAS</v>
      </c>
      <c r="E6" s="45" t="str">
        <f>Sector_Fuels_ELC!$L$7</f>
        <v>ELCOIL</v>
      </c>
      <c r="F6" s="44"/>
      <c r="G6" s="44"/>
      <c r="H6" s="1"/>
    </row>
    <row r="7" spans="2:10" ht="14" thickBot="1" x14ac:dyDescent="0.2">
      <c r="B7" s="18" t="s">
        <v>76</v>
      </c>
      <c r="C7" s="18" t="s">
        <v>144</v>
      </c>
      <c r="D7" s="18" t="s">
        <v>144</v>
      </c>
      <c r="E7" s="18" t="s">
        <v>144</v>
      </c>
      <c r="F7" s="88"/>
      <c r="G7" s="88"/>
      <c r="H7" s="1"/>
    </row>
    <row r="8" spans="2:10" x14ac:dyDescent="0.15">
      <c r="B8" s="25" t="str">
        <f>Con_ELC!$V$6</f>
        <v>ELCCO2</v>
      </c>
      <c r="C8" s="73">
        <v>95</v>
      </c>
      <c r="D8" s="73">
        <v>56.1</v>
      </c>
      <c r="E8" s="73">
        <v>76.400000000000006</v>
      </c>
      <c r="F8" s="89"/>
      <c r="G8" s="89"/>
      <c r="H8" s="1"/>
    </row>
    <row r="9" spans="2:10" x14ac:dyDescent="0.15">
      <c r="F9" s="31"/>
      <c r="G9" s="31"/>
    </row>
    <row r="10" spans="2:10" x14ac:dyDescent="0.15">
      <c r="F10" s="31"/>
      <c r="G10" s="31"/>
    </row>
    <row r="23" spans="2:3" x14ac:dyDescent="0.15">
      <c r="B23" s="52"/>
      <c r="C23" s="1" t="s">
        <v>145</v>
      </c>
    </row>
    <row r="24" spans="2:3" x14ac:dyDescent="0.15">
      <c r="B24" s="68"/>
      <c r="C24" s="1" t="s">
        <v>146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EB1</vt:lpstr>
      <vt:lpstr>RES_ELC</vt:lpstr>
      <vt:lpstr>Sector_Fuels_ELC</vt:lpstr>
      <vt:lpstr>Con_ELC</vt:lpstr>
      <vt:lpstr>Emi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Kanudia</dc:creator>
  <cp:lastModifiedBy>Microsoft Office User</cp:lastModifiedBy>
  <cp:lastPrinted>2004-11-16T14:57:57Z</cp:lastPrinted>
  <dcterms:created xsi:type="dcterms:W3CDTF">2000-12-13T15:53:11Z</dcterms:created>
  <dcterms:modified xsi:type="dcterms:W3CDTF">2020-07-06T10:08:46Z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933101832866668</vt:r8>
  </property>
</Properties>
</file>