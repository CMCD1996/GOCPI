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comments7.xml" ContentType="application/vnd.openxmlformats-officedocument.spreadsheetml.comments+xml"/>
  <Override PartName="/xl/drawings/drawing10.xml" ContentType="application/vnd.openxmlformats-officedocument.drawing+xml"/>
  <Override PartName="/xl/comments8.xml" ContentType="application/vnd.openxmlformats-officedocument.spreadsheetml.comments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614"/>
  <workbookPr showObjects="placeholders" codeName="ThisWorkbook"/>
  <mc:AlternateContent xmlns:mc="http://schemas.openxmlformats.org/markup-compatibility/2006">
    <mc:Choice Requires="x15">
      <x15ac:absPath xmlns:x15ac="http://schemas.microsoft.com/office/spreadsheetml/2010/11/ac" url="/Users/connor/Google Drive/Documents/University/Courses/2020/ENGSCI 700A&amp;B/GOCPI/data/Inputs/XLSM/"/>
    </mc:Choice>
  </mc:AlternateContent>
  <xr:revisionPtr revIDLastSave="0" documentId="8_{57FBED48-D989-B34A-A580-C58E58C2B694}" xr6:coauthVersionLast="45" xr6:coauthVersionMax="45" xr10:uidLastSave="{00000000-0000-0000-0000-000000000000}"/>
  <bookViews>
    <workbookView xWindow="0" yWindow="460" windowWidth="28800" windowHeight="16240" tabRatio="901"/>
  </bookViews>
  <sheets>
    <sheet name="EB2" sheetId="133" r:id="rId1"/>
    <sheet name="RES_PRI" sheetId="154" r:id="rId2"/>
    <sheet name="Pri_COA" sheetId="132" r:id="rId3"/>
    <sheet name="Pri_GAS" sheetId="136" r:id="rId4"/>
    <sheet name="Pri_OIL" sheetId="137" r:id="rId5"/>
    <sheet name="Pri_RNW" sheetId="142" r:id="rId6"/>
    <sheet name="Pri_NUC" sheetId="144" r:id="rId7"/>
    <sheet name="Pri_PP" sheetId="147" r:id="rId8"/>
    <sheet name="Pri_ELC" sheetId="153" r:id="rId9"/>
    <sheet name="Con_REF" sheetId="148" r:id="rId10"/>
    <sheet name="TOTCO2" sheetId="155" r:id="rId11"/>
  </sheets>
  <externalReferences>
    <externalReference r:id="rId12"/>
    <externalReference r:id="rId13"/>
  </externalReferences>
  <definedNames>
    <definedName name="FID_1">[1]AGR_Fuels!$A$2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1" i="155" l="1"/>
  <c r="F11" i="155"/>
  <c r="D10" i="133"/>
  <c r="E10" i="133"/>
  <c r="E14" i="133" s="1"/>
  <c r="F10" i="133"/>
  <c r="G10" i="133"/>
  <c r="H10" i="133"/>
  <c r="I10" i="133"/>
  <c r="I14" i="133" s="1"/>
  <c r="J10" i="133"/>
  <c r="K10" i="133"/>
  <c r="K14" i="133" s="1"/>
  <c r="L10" i="133"/>
  <c r="M10" i="133"/>
  <c r="N10" i="133"/>
  <c r="O10" i="133"/>
  <c r="O14" i="133" s="1"/>
  <c r="P10" i="133"/>
  <c r="Q10" i="133"/>
  <c r="R10" i="133"/>
  <c r="S10" i="133"/>
  <c r="T10" i="133"/>
  <c r="T14" i="133" s="1"/>
  <c r="U10" i="133"/>
  <c r="U14" i="133" s="1"/>
  <c r="D11" i="133"/>
  <c r="E11" i="133"/>
  <c r="F11" i="133"/>
  <c r="G11" i="133"/>
  <c r="H11" i="133"/>
  <c r="H14" i="133" s="1"/>
  <c r="I11" i="133"/>
  <c r="J11" i="133"/>
  <c r="K11" i="133"/>
  <c r="L11" i="133"/>
  <c r="M11" i="133"/>
  <c r="M14" i="133" s="1"/>
  <c r="N11" i="133"/>
  <c r="O11" i="133"/>
  <c r="P11" i="133"/>
  <c r="Q11" i="133"/>
  <c r="R11" i="133"/>
  <c r="S11" i="133"/>
  <c r="S14" i="133" s="1"/>
  <c r="T11" i="133"/>
  <c r="U11" i="133"/>
  <c r="D12" i="133"/>
  <c r="V12" i="133" s="1"/>
  <c r="E12" i="133"/>
  <c r="F12" i="133"/>
  <c r="G12" i="133"/>
  <c r="H12" i="133"/>
  <c r="I12" i="133"/>
  <c r="J12" i="133"/>
  <c r="J14" i="133" s="1"/>
  <c r="K12" i="133"/>
  <c r="L12" i="133"/>
  <c r="M12" i="133"/>
  <c r="N12" i="133"/>
  <c r="O12" i="133"/>
  <c r="P12" i="133"/>
  <c r="Q12" i="133"/>
  <c r="R12" i="133"/>
  <c r="S12" i="133"/>
  <c r="T12" i="133"/>
  <c r="U12" i="133"/>
  <c r="D13" i="133"/>
  <c r="E13" i="133"/>
  <c r="V13" i="133" s="1"/>
  <c r="F13" i="133"/>
  <c r="F12" i="148"/>
  <c r="G13" i="133"/>
  <c r="G14" i="133" s="1"/>
  <c r="H13" i="133"/>
  <c r="E14" i="148"/>
  <c r="I13" i="133"/>
  <c r="J13" i="133"/>
  <c r="E15" i="148"/>
  <c r="K13" i="133"/>
  <c r="E16" i="148"/>
  <c r="L13" i="133"/>
  <c r="L14" i="133" s="1"/>
  <c r="M13" i="133"/>
  <c r="E18" i="148"/>
  <c r="N13" i="133"/>
  <c r="N14" i="133" s="1"/>
  <c r="O13" i="133"/>
  <c r="P13" i="133"/>
  <c r="Q13" i="133"/>
  <c r="R13" i="133"/>
  <c r="S13" i="133"/>
  <c r="T13" i="133"/>
  <c r="U13" i="133"/>
  <c r="E5" i="142"/>
  <c r="E4" i="142"/>
  <c r="E3" i="142"/>
  <c r="E2" i="142"/>
  <c r="L8" i="142"/>
  <c r="D5" i="133"/>
  <c r="G12" i="132" s="1"/>
  <c r="E5" i="133"/>
  <c r="E8" i="133" s="1"/>
  <c r="F5" i="133"/>
  <c r="G5" i="133"/>
  <c r="H5" i="133"/>
  <c r="I5" i="133"/>
  <c r="J5" i="133"/>
  <c r="K5" i="133"/>
  <c r="K8" i="133" s="1"/>
  <c r="L5" i="133"/>
  <c r="L8" i="133"/>
  <c r="M5" i="133"/>
  <c r="M8" i="133" s="1"/>
  <c r="N5" i="133"/>
  <c r="N8" i="133" s="1"/>
  <c r="O5" i="133"/>
  <c r="P5" i="133"/>
  <c r="Q5" i="133"/>
  <c r="R5" i="133"/>
  <c r="S5" i="133"/>
  <c r="S8" i="133"/>
  <c r="T5" i="133"/>
  <c r="U5" i="133"/>
  <c r="D6" i="133"/>
  <c r="G14" i="132"/>
  <c r="E6" i="133"/>
  <c r="F6" i="133"/>
  <c r="F8" i="133" s="1"/>
  <c r="G6" i="133"/>
  <c r="H6" i="133"/>
  <c r="I6" i="133"/>
  <c r="J6" i="133"/>
  <c r="J8" i="133" s="1"/>
  <c r="K6" i="133"/>
  <c r="L6" i="133"/>
  <c r="M6" i="133"/>
  <c r="N6" i="133"/>
  <c r="O6" i="133"/>
  <c r="O8" i="133" s="1"/>
  <c r="P6" i="133"/>
  <c r="Q6" i="133"/>
  <c r="R6" i="133"/>
  <c r="S6" i="133"/>
  <c r="T6" i="133"/>
  <c r="U6" i="133"/>
  <c r="F15" i="153"/>
  <c r="D7" i="133"/>
  <c r="E7" i="133"/>
  <c r="F7" i="133"/>
  <c r="G15" i="137" s="1"/>
  <c r="G7" i="133"/>
  <c r="G8" i="133" s="1"/>
  <c r="H7" i="133"/>
  <c r="F25" i="147" s="1"/>
  <c r="I7" i="133"/>
  <c r="I8" i="133" s="1"/>
  <c r="J7" i="133"/>
  <c r="F27" i="147"/>
  <c r="K7" i="133"/>
  <c r="L7" i="133"/>
  <c r="F29" i="147" s="1"/>
  <c r="M7" i="133"/>
  <c r="F30" i="147" s="1"/>
  <c r="N7" i="133"/>
  <c r="O7" i="133"/>
  <c r="P7" i="133"/>
  <c r="Q7" i="133"/>
  <c r="R7" i="133"/>
  <c r="S7" i="133"/>
  <c r="T7" i="133"/>
  <c r="T8" i="133"/>
  <c r="U7" i="133"/>
  <c r="F16" i="153" s="1"/>
  <c r="D5" i="142"/>
  <c r="K8" i="142" s="1"/>
  <c r="D4" i="142"/>
  <c r="K7" i="142" s="1"/>
  <c r="D3" i="142"/>
  <c r="K6" i="142" s="1"/>
  <c r="D2" i="142"/>
  <c r="K5" i="142" s="1"/>
  <c r="C5" i="142"/>
  <c r="J8" i="142" s="1"/>
  <c r="D17" i="142" s="1"/>
  <c r="C4" i="142"/>
  <c r="J7" i="142"/>
  <c r="D16" i="142" s="1"/>
  <c r="C3" i="142"/>
  <c r="J6" i="142" s="1"/>
  <c r="D15" i="142" s="1"/>
  <c r="C2" i="142"/>
  <c r="J5" i="142"/>
  <c r="D14" i="142" s="1"/>
  <c r="E15" i="153"/>
  <c r="H16" i="153"/>
  <c r="H15" i="153"/>
  <c r="J15" i="153" s="1"/>
  <c r="F2" i="153"/>
  <c r="E2" i="153"/>
  <c r="L15" i="153" s="1"/>
  <c r="D2" i="153"/>
  <c r="C2" i="153"/>
  <c r="D15" i="153"/>
  <c r="D18" i="148"/>
  <c r="D17" i="148"/>
  <c r="D16" i="148"/>
  <c r="D15" i="148"/>
  <c r="D14" i="148"/>
  <c r="D13" i="148"/>
  <c r="D12" i="148"/>
  <c r="C12" i="148"/>
  <c r="L12" i="148"/>
  <c r="M12" i="148"/>
  <c r="G2" i="148"/>
  <c r="E2" i="148"/>
  <c r="N12" i="148" s="1"/>
  <c r="O12" i="148"/>
  <c r="E11" i="148"/>
  <c r="E23" i="147"/>
  <c r="E30" i="147" s="1"/>
  <c r="E22" i="147"/>
  <c r="E29" i="147" s="1"/>
  <c r="E21" i="147"/>
  <c r="E28" i="147" s="1"/>
  <c r="E20" i="147"/>
  <c r="E27" i="147" s="1"/>
  <c r="E19" i="147"/>
  <c r="E26" i="147" s="1"/>
  <c r="E18" i="147"/>
  <c r="E25" i="147" s="1"/>
  <c r="E17" i="147"/>
  <c r="E24" i="147" s="1"/>
  <c r="H24" i="147"/>
  <c r="H17" i="147"/>
  <c r="E8" i="147"/>
  <c r="D8" i="147"/>
  <c r="K11" i="147"/>
  <c r="C8" i="147"/>
  <c r="J11" i="147" s="1"/>
  <c r="E7" i="147"/>
  <c r="D7" i="147"/>
  <c r="K10" i="147" s="1"/>
  <c r="C7" i="147"/>
  <c r="J10" i="147" s="1"/>
  <c r="E6" i="147"/>
  <c r="D6" i="147"/>
  <c r="K9" i="147" s="1"/>
  <c r="C6" i="147"/>
  <c r="C28" i="147"/>
  <c r="E5" i="147"/>
  <c r="D5" i="147"/>
  <c r="K20" i="147" s="1"/>
  <c r="K8" i="147"/>
  <c r="C5" i="147"/>
  <c r="E4" i="147"/>
  <c r="D4" i="147"/>
  <c r="K7" i="147"/>
  <c r="C4" i="147"/>
  <c r="J7" i="147"/>
  <c r="E3" i="147"/>
  <c r="D3" i="147"/>
  <c r="K6" i="147" s="1"/>
  <c r="C3" i="147"/>
  <c r="J6" i="147" s="1"/>
  <c r="F2" i="147"/>
  <c r="E2" i="147"/>
  <c r="L9" i="147"/>
  <c r="D2" i="147"/>
  <c r="K5" i="147"/>
  <c r="C2" i="147"/>
  <c r="D17" i="147" s="1"/>
  <c r="D2" i="144"/>
  <c r="K5" i="144"/>
  <c r="C2" i="144"/>
  <c r="J5" i="144"/>
  <c r="D11" i="144" s="1"/>
  <c r="H11" i="144"/>
  <c r="J11" i="144" s="1"/>
  <c r="F2" i="144"/>
  <c r="E2" i="144"/>
  <c r="L5" i="144"/>
  <c r="F2" i="142"/>
  <c r="E13" i="142"/>
  <c r="H14" i="142"/>
  <c r="J17" i="142"/>
  <c r="B17" i="142" s="1"/>
  <c r="E2" i="137"/>
  <c r="M14" i="137"/>
  <c r="F2" i="137"/>
  <c r="E2" i="136"/>
  <c r="N13" i="136" s="1"/>
  <c r="N14" i="136"/>
  <c r="F2" i="136"/>
  <c r="F10" i="136"/>
  <c r="E2" i="132"/>
  <c r="F2" i="132"/>
  <c r="I11" i="137"/>
  <c r="K13" i="137"/>
  <c r="I11" i="136"/>
  <c r="K12" i="136"/>
  <c r="I11" i="132"/>
  <c r="D2" i="137"/>
  <c r="L12" i="137" s="1"/>
  <c r="C2" i="137"/>
  <c r="I15" i="137"/>
  <c r="I14" i="137"/>
  <c r="K14" i="137" s="1"/>
  <c r="B14" i="137" s="1"/>
  <c r="D2" i="136"/>
  <c r="L5" i="136"/>
  <c r="C2" i="136"/>
  <c r="K5" i="136"/>
  <c r="C15" i="136" s="1"/>
  <c r="I15" i="136"/>
  <c r="I14" i="136"/>
  <c r="I15" i="132"/>
  <c r="K15" i="132"/>
  <c r="B15" i="132" s="1"/>
  <c r="I14" i="132"/>
  <c r="K14" i="132" s="1"/>
  <c r="D2" i="132"/>
  <c r="L5" i="132"/>
  <c r="C2" i="132"/>
  <c r="K5" i="132"/>
  <c r="C15" i="132" s="1"/>
  <c r="G11" i="132"/>
  <c r="C25" i="147"/>
  <c r="N12" i="136"/>
  <c r="M5" i="136"/>
  <c r="D19" i="147"/>
  <c r="J5" i="147"/>
  <c r="M15" i="136"/>
  <c r="L6" i="142"/>
  <c r="E10" i="136"/>
  <c r="M15" i="142"/>
  <c r="M14" i="142"/>
  <c r="C24" i="147"/>
  <c r="L7" i="142"/>
  <c r="L15" i="142"/>
  <c r="C16" i="153"/>
  <c r="J20" i="147"/>
  <c r="B20" i="147" s="1"/>
  <c r="L17" i="142"/>
  <c r="J16" i="153"/>
  <c r="B16" i="153"/>
  <c r="F10" i="132"/>
  <c r="E14" i="153"/>
  <c r="J19" i="147"/>
  <c r="J16" i="142"/>
  <c r="B16" i="142" s="1"/>
  <c r="J8" i="147"/>
  <c r="C26" i="147"/>
  <c r="M15" i="132"/>
  <c r="F10" i="144"/>
  <c r="M12" i="132"/>
  <c r="M11" i="144"/>
  <c r="M11" i="132"/>
  <c r="D12" i="132"/>
  <c r="L7" i="147"/>
  <c r="J14" i="142"/>
  <c r="G10" i="132"/>
  <c r="M13" i="132"/>
  <c r="N14" i="132"/>
  <c r="K11" i="132"/>
  <c r="B11" i="132"/>
  <c r="L24" i="147"/>
  <c r="F13" i="142"/>
  <c r="L14" i="142"/>
  <c r="N13" i="132"/>
  <c r="L8" i="147"/>
  <c r="L5" i="142"/>
  <c r="F14" i="153"/>
  <c r="L21" i="147"/>
  <c r="K13" i="136"/>
  <c r="L13" i="136" s="1"/>
  <c r="M16" i="142"/>
  <c r="N15" i="132"/>
  <c r="L10" i="147"/>
  <c r="L23" i="147"/>
  <c r="D20" i="147"/>
  <c r="J17" i="147"/>
  <c r="M5" i="132"/>
  <c r="K12" i="132"/>
  <c r="B12" i="132"/>
  <c r="K13" i="132"/>
  <c r="L13" i="132"/>
  <c r="M17" i="142"/>
  <c r="L16" i="142"/>
  <c r="E10" i="132"/>
  <c r="M14" i="132"/>
  <c r="N11" i="132"/>
  <c r="L16" i="153"/>
  <c r="C27" i="147"/>
  <c r="N12" i="132"/>
  <c r="L22" i="147"/>
  <c r="B14" i="142"/>
  <c r="B17" i="147"/>
  <c r="B12" i="148"/>
  <c r="G12" i="136"/>
  <c r="G15" i="132"/>
  <c r="E12" i="148"/>
  <c r="F28" i="147"/>
  <c r="G12" i="137"/>
  <c r="D8" i="133"/>
  <c r="F26" i="147"/>
  <c r="K16" i="153"/>
  <c r="J25" i="147"/>
  <c r="B25" i="147" s="1"/>
  <c r="C30" i="147"/>
  <c r="L19" i="147"/>
  <c r="L11" i="147"/>
  <c r="F16" i="147"/>
  <c r="L20" i="147"/>
  <c r="L30" i="147"/>
  <c r="J18" i="147"/>
  <c r="K18" i="147" s="1"/>
  <c r="L28" i="147"/>
  <c r="L5" i="147"/>
  <c r="C29" i="147"/>
  <c r="E16" i="147"/>
  <c r="J23" i="147"/>
  <c r="K23" i="147" s="1"/>
  <c r="D18" i="147"/>
  <c r="K17" i="147"/>
  <c r="L17" i="147"/>
  <c r="L18" i="147"/>
  <c r="L26" i="147"/>
  <c r="D23" i="147"/>
  <c r="L25" i="147"/>
  <c r="L29" i="147"/>
  <c r="L6" i="147"/>
  <c r="K19" i="147"/>
  <c r="L27" i="147"/>
  <c r="L11" i="144"/>
  <c r="E10" i="144"/>
  <c r="N14" i="137"/>
  <c r="M5" i="137"/>
  <c r="N13" i="137"/>
  <c r="M12" i="137"/>
  <c r="F10" i="137"/>
  <c r="M11" i="137"/>
  <c r="M15" i="137"/>
  <c r="E10" i="137"/>
  <c r="M13" i="137"/>
  <c r="G10" i="137"/>
  <c r="K11" i="137"/>
  <c r="B11" i="137"/>
  <c r="N11" i="137"/>
  <c r="N12" i="137"/>
  <c r="N15" i="137"/>
  <c r="K5" i="137"/>
  <c r="D11" i="136"/>
  <c r="B12" i="136"/>
  <c r="L12" i="136"/>
  <c r="K14" i="136"/>
  <c r="B14" i="136"/>
  <c r="B13" i="136"/>
  <c r="L14" i="136"/>
  <c r="D12" i="136"/>
  <c r="M14" i="136"/>
  <c r="N15" i="136"/>
  <c r="N11" i="136"/>
  <c r="K15" i="136"/>
  <c r="L15" i="136" s="1"/>
  <c r="K11" i="136"/>
  <c r="L11" i="136"/>
  <c r="D11" i="132"/>
  <c r="D14" i="132"/>
  <c r="D13" i="132"/>
  <c r="B13" i="132"/>
  <c r="L12" i="132"/>
  <c r="B13" i="137"/>
  <c r="K17" i="142"/>
  <c r="H8" i="133"/>
  <c r="F14" i="133"/>
  <c r="V10" i="133"/>
  <c r="G12" i="148"/>
  <c r="L15" i="132"/>
  <c r="J21" i="147"/>
  <c r="K21" i="147" s="1"/>
  <c r="J9" i="147"/>
  <c r="J24" i="147"/>
  <c r="K24" i="147" s="1"/>
  <c r="K15" i="137"/>
  <c r="B15" i="137" s="1"/>
  <c r="V7" i="133"/>
  <c r="E17" i="148"/>
  <c r="U8" i="133"/>
  <c r="V5" i="133"/>
  <c r="E13" i="148"/>
  <c r="G11" i="137"/>
  <c r="D14" i="133"/>
  <c r="L11" i="132"/>
  <c r="D21" i="147"/>
  <c r="J29" i="147"/>
  <c r="B29" i="147" s="1"/>
  <c r="J26" i="147"/>
  <c r="K12" i="137"/>
  <c r="J15" i="142"/>
  <c r="K15" i="142" s="1"/>
  <c r="G15" i="136"/>
  <c r="V6" i="133"/>
  <c r="V8" i="133" s="1"/>
  <c r="K14" i="142"/>
  <c r="B19" i="147"/>
  <c r="D14" i="137"/>
  <c r="K16" i="142"/>
  <c r="J30" i="147"/>
  <c r="J28" i="147"/>
  <c r="B28" i="147" s="1"/>
  <c r="J27" i="147"/>
  <c r="B23" i="147"/>
  <c r="D12" i="137"/>
  <c r="C15" i="137"/>
  <c r="D11" i="137"/>
  <c r="D13" i="137"/>
  <c r="B15" i="136"/>
  <c r="B11" i="136"/>
  <c r="K28" i="147"/>
  <c r="B27" i="147"/>
  <c r="K27" i="147"/>
  <c r="B12" i="137"/>
  <c r="B21" i="147"/>
  <c r="B30" i="147"/>
  <c r="K30" i="147"/>
  <c r="K26" i="147"/>
  <c r="B26" i="147"/>
  <c r="B24" i="147"/>
  <c r="B15" i="142"/>
  <c r="L14" i="132" l="1"/>
  <c r="B14" i="132"/>
  <c r="B15" i="153"/>
  <c r="K15" i="153"/>
  <c r="K11" i="144"/>
  <c r="B11" i="144"/>
  <c r="G11" i="136"/>
  <c r="D14" i="136"/>
  <c r="G10" i="136"/>
  <c r="K29" i="147"/>
  <c r="L15" i="137"/>
  <c r="L13" i="137"/>
  <c r="M11" i="136"/>
  <c r="F24" i="147"/>
  <c r="V11" i="133"/>
  <c r="V14" i="133" s="1"/>
  <c r="K25" i="147"/>
  <c r="L11" i="137"/>
  <c r="D13" i="136"/>
  <c r="D22" i="147"/>
  <c r="L14" i="137"/>
  <c r="B18" i="147"/>
  <c r="J22" i="147"/>
  <c r="L5" i="137"/>
  <c r="M12" i="136"/>
  <c r="M13" i="136"/>
  <c r="K22" i="147" l="1"/>
  <c r="B22" i="147"/>
</calcChain>
</file>

<file path=xl/comments1.xml><?xml version="1.0" encoding="utf-8"?>
<comments xmlns="http://schemas.openxmlformats.org/spreadsheetml/2006/main">
  <authors>
    <author>Gary Goldstein</author>
    <author>Amit Kanudia</author>
    <author>Maurizio Gargiulo</author>
  </authors>
  <commentList>
    <comment ref="I3" authorId="0" shapeId="0">
      <text>
        <r>
          <rPr>
            <sz val="8"/>
            <color indexed="81"/>
            <rFont val="Tahoma"/>
            <family val="2"/>
          </rPr>
          <t xml:space="preserve">Csets declarations are inherited until the next one is encountered.
Allowed Cset:
</t>
        </r>
        <r>
          <rPr>
            <b/>
            <sz val="8"/>
            <color indexed="81"/>
            <rFont val="Tahoma"/>
            <family val="2"/>
          </rPr>
          <t>NRG</t>
        </r>
        <r>
          <rPr>
            <sz val="8"/>
            <color indexed="81"/>
            <rFont val="Tahoma"/>
            <family val="2"/>
          </rPr>
          <t xml:space="preserve"> (Energy)
</t>
        </r>
        <r>
          <rPr>
            <b/>
            <sz val="8"/>
            <color indexed="81"/>
            <rFont val="Tahoma"/>
            <family val="2"/>
          </rPr>
          <t>ENV</t>
        </r>
        <r>
          <rPr>
            <sz val="8"/>
            <color indexed="81"/>
            <rFont val="Tahoma"/>
            <family val="2"/>
          </rPr>
          <t xml:space="preserve"> (Emission)
</t>
        </r>
        <r>
          <rPr>
            <b/>
            <sz val="8"/>
            <color indexed="81"/>
            <rFont val="Tahoma"/>
            <family val="2"/>
          </rPr>
          <t>DEM</t>
        </r>
        <r>
          <rPr>
            <sz val="8"/>
            <color indexed="81"/>
            <rFont val="Tahoma"/>
            <family val="2"/>
          </rPr>
          <t xml:space="preserve"> (Demand)
</t>
        </r>
        <r>
          <rPr>
            <b/>
            <sz val="8"/>
            <color indexed="81"/>
            <rFont val="Tahoma"/>
            <family val="2"/>
          </rPr>
          <t>MAT</t>
        </r>
        <r>
          <rPr>
            <sz val="8"/>
            <color indexed="81"/>
            <rFont val="Tahoma"/>
            <family val="2"/>
          </rPr>
          <t xml:space="preserve"> (Material)
</t>
        </r>
        <r>
          <rPr>
            <b/>
            <sz val="8"/>
            <color indexed="81"/>
            <rFont val="Tahoma"/>
            <family val="2"/>
          </rPr>
          <t>FIN</t>
        </r>
        <r>
          <rPr>
            <sz val="8"/>
            <color indexed="81"/>
            <rFont val="Tahoma"/>
            <family val="2"/>
          </rPr>
          <t xml:space="preserve"> (Financial)</t>
        </r>
      </text>
    </comment>
    <comment ref="N3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LO for PRODUCTION &gt;= CONSUMPTION (Default)
FX for PRODUCTION = CONSUMPTION
UP for PRODUCTION &lt;= CONSUMPTION</t>
        </r>
      </text>
    </comment>
    <comment ref="O3" authorId="2" shapeId="0">
      <text>
        <r>
          <rPr>
            <sz val="8"/>
            <color indexed="81"/>
            <rFont val="Tahoma"/>
            <family val="2"/>
          </rPr>
          <t>Allowed CTSLvl</t>
        </r>
        <r>
          <rPr>
            <b/>
            <sz val="8"/>
            <color indexed="81"/>
            <rFont val="Tahoma"/>
            <family val="2"/>
          </rPr>
          <t xml:space="preserve">
SEASON</t>
        </r>
        <r>
          <rPr>
            <sz val="8"/>
            <color indexed="81"/>
            <rFont val="Tahoma"/>
            <family val="2"/>
          </rPr>
          <t xml:space="preserve"> (Seasonal level)</t>
        </r>
        <r>
          <rPr>
            <b/>
            <sz val="8"/>
            <color indexed="81"/>
            <rFont val="Tahoma"/>
            <family val="2"/>
          </rPr>
          <t xml:space="preserve">
WEEKLY</t>
        </r>
        <r>
          <rPr>
            <sz val="8"/>
            <color indexed="81"/>
            <rFont val="Tahoma"/>
            <family val="2"/>
          </rPr>
          <t xml:space="preserve"> (Weekly level)</t>
        </r>
        <r>
          <rPr>
            <b/>
            <sz val="8"/>
            <color indexed="81"/>
            <rFont val="Tahoma"/>
            <family val="2"/>
          </rPr>
          <t xml:space="preserve">
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P3" authorId="2" shapeId="0">
      <text>
        <r>
          <rPr>
            <sz val="8"/>
            <color indexed="81"/>
            <rFont val="Tahoma"/>
            <family val="2"/>
          </rPr>
          <t>Allowed PeakTS</t>
        </r>
        <r>
          <rPr>
            <b/>
            <sz val="8"/>
            <color indexed="81"/>
            <rFont val="Tahoma"/>
            <family val="2"/>
          </rPr>
          <t xml:space="preserve">
ANNUAL </t>
        </r>
        <r>
          <rPr>
            <sz val="8"/>
            <color indexed="81"/>
            <rFont val="Tahoma"/>
            <family val="2"/>
          </rPr>
          <t>(to generate Peak Equation for all the TimeSlices)</t>
        </r>
        <r>
          <rPr>
            <b/>
            <sz val="8"/>
            <color indexed="81"/>
            <rFont val="Tahoma"/>
            <family val="2"/>
          </rPr>
          <t xml:space="preserve">
User TS </t>
        </r>
        <r>
          <rPr>
            <sz val="8"/>
            <color indexed="81"/>
            <rFont val="Tahoma"/>
            <family val="2"/>
          </rPr>
          <t>(to generate Peak Equation for a single TS)</t>
        </r>
      </text>
    </comment>
    <comment ref="Q3" authorId="2" shapeId="0">
      <text>
        <r>
          <rPr>
            <sz val="8"/>
            <color indexed="81"/>
            <rFont val="Tahoma"/>
            <family val="2"/>
          </rPr>
          <t xml:space="preserve">Allowed Ctype
</t>
        </r>
        <r>
          <rPr>
            <b/>
            <sz val="8"/>
            <color indexed="81"/>
            <rFont val="Tahoma"/>
            <family val="2"/>
          </rPr>
          <t>ELC</t>
        </r>
        <r>
          <rPr>
            <sz val="8"/>
            <color indexed="81"/>
            <rFont val="Tahoma"/>
            <family val="2"/>
          </rPr>
          <t xml:space="preserve"> (Electricity)</t>
        </r>
      </text>
    </comment>
    <comment ref="G8" authorId="2" shapeId="0">
      <text>
        <r>
          <rPr>
            <sz val="8"/>
            <color indexed="81"/>
            <rFont val="Tahoma"/>
            <family val="2"/>
          </rPr>
          <t xml:space="preserve">This attribute is used to assign a production limit.
By defautt is defined like fixed share
</t>
        </r>
        <r>
          <rPr>
            <b/>
            <sz val="8"/>
            <color indexed="81"/>
            <rFont val="Tahoma"/>
            <family val="2"/>
          </rPr>
          <t>UP</t>
        </r>
        <r>
          <rPr>
            <sz val="8"/>
            <color indexed="81"/>
            <rFont val="Tahoma"/>
            <family val="2"/>
          </rPr>
          <t xml:space="preserve">
If you want fix or lower add
</t>
        </r>
        <r>
          <rPr>
            <b/>
            <sz val="8"/>
            <color indexed="81"/>
            <rFont val="Tahoma"/>
            <family val="2"/>
          </rPr>
          <t>~FX
~LO</t>
        </r>
      </text>
    </comment>
    <comment ref="O8" authorId="2" shapeId="0">
      <text>
        <r>
          <rPr>
            <sz val="8"/>
            <color indexed="81"/>
            <rFont val="Tahoma"/>
            <family val="2"/>
          </rPr>
          <t xml:space="preserve">Allowed TsLvl
</t>
        </r>
        <r>
          <rPr>
            <b/>
            <sz val="8"/>
            <color indexed="81"/>
            <rFont val="Tahoma"/>
            <family val="2"/>
          </rPr>
          <t>ANNUAL</t>
        </r>
        <r>
          <rPr>
            <sz val="8"/>
            <color indexed="81"/>
            <rFont val="Tahoma"/>
            <family val="2"/>
          </rPr>
          <t xml:space="preserve"> (Annual level)
</t>
        </r>
        <r>
          <rPr>
            <b/>
            <sz val="8"/>
            <color indexed="81"/>
            <rFont val="Tahoma"/>
            <family val="2"/>
          </rPr>
          <t>SEASON</t>
        </r>
        <r>
          <rPr>
            <sz val="8"/>
            <color indexed="81"/>
            <rFont val="Tahoma"/>
            <family val="2"/>
          </rPr>
          <t xml:space="preserve"> (Seasonal level)
</t>
        </r>
        <r>
          <rPr>
            <b/>
            <sz val="8"/>
            <color indexed="81"/>
            <rFont val="Tahoma"/>
            <family val="2"/>
          </rPr>
          <t>WEEKLY</t>
        </r>
        <r>
          <rPr>
            <sz val="8"/>
            <color indexed="81"/>
            <rFont val="Tahoma"/>
            <family val="2"/>
          </rPr>
          <t xml:space="preserve"> (Weekly level)
</t>
        </r>
        <r>
          <rPr>
            <b/>
            <sz val="8"/>
            <color indexed="81"/>
            <rFont val="Tahoma"/>
            <family val="2"/>
          </rPr>
          <t>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P8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Needed only when one wants to override the VEDA default assignment
</t>
        </r>
      </text>
    </comment>
    <comment ref="Q8" authorId="2" shapeId="0">
      <text>
        <r>
          <rPr>
            <sz val="8"/>
            <color indexed="81"/>
            <rFont val="Tahoma"/>
            <family val="2"/>
          </rPr>
          <t>Allowed Vintage</t>
        </r>
        <r>
          <rPr>
            <b/>
            <sz val="8"/>
            <color indexed="81"/>
            <rFont val="Tahoma"/>
            <family val="2"/>
          </rPr>
          <t xml:space="preserve">
NO</t>
        </r>
        <r>
          <rPr>
            <sz val="8"/>
            <color indexed="81"/>
            <rFont val="Tahoma"/>
            <family val="2"/>
          </rPr>
          <t xml:space="preserve"> (if empty by default mean </t>
        </r>
        <r>
          <rPr>
            <b/>
            <sz val="8"/>
            <color indexed="81"/>
            <rFont val="Tahoma"/>
            <family val="2"/>
          </rPr>
          <t>NO</t>
        </r>
        <r>
          <rPr>
            <sz val="8"/>
            <color indexed="81"/>
            <rFont val="Tahoma"/>
            <family val="2"/>
          </rPr>
          <t>)</t>
        </r>
        <r>
          <rPr>
            <b/>
            <sz val="8"/>
            <color indexed="81"/>
            <rFont val="Tahoma"/>
            <family val="2"/>
          </rPr>
          <t xml:space="preserve">
YES</t>
        </r>
      </text>
    </comment>
    <comment ref="I9" authorId="2" shapeId="0">
      <text>
        <r>
          <rPr>
            <sz val="8"/>
            <color indexed="81"/>
            <rFont val="Tahoma"/>
            <family val="2"/>
          </rPr>
          <t xml:space="preserve">Sets declarations are </t>
        </r>
        <r>
          <rPr>
            <sz val="8"/>
            <color indexed="81"/>
            <rFont val="Tahoma"/>
            <family val="2"/>
          </rPr>
          <t>inherited. 
Allowed Process Sets</t>
        </r>
        <r>
          <rPr>
            <b/>
            <sz val="8"/>
            <color indexed="81"/>
            <rFont val="Tahoma"/>
            <family val="2"/>
          </rPr>
          <t xml:space="preserve">
ELE </t>
        </r>
        <r>
          <rPr>
            <sz val="8"/>
            <color indexed="81"/>
            <rFont val="Tahoma"/>
            <family val="2"/>
          </rPr>
          <t>(Thermal Electric Power Plant)</t>
        </r>
        <r>
          <rPr>
            <b/>
            <sz val="8"/>
            <color indexed="81"/>
            <rFont val="Tahoma"/>
            <family val="2"/>
          </rPr>
          <t xml:space="preserve">
CHP </t>
        </r>
        <r>
          <rPr>
            <sz val="8"/>
            <color indexed="81"/>
            <rFont val="Tahoma"/>
            <family val="2"/>
          </rPr>
          <t>(Combined Heat and Power)</t>
        </r>
        <r>
          <rPr>
            <b/>
            <sz val="8"/>
            <color indexed="81"/>
            <rFont val="Tahoma"/>
            <family val="2"/>
          </rPr>
          <t xml:space="preserve">
STGTSS </t>
        </r>
        <r>
          <rPr>
            <sz val="8"/>
            <color indexed="81"/>
            <rFont val="Tahoma"/>
            <family val="2"/>
          </rPr>
          <t>(Pump Storage)</t>
        </r>
        <r>
          <rPr>
            <b/>
            <sz val="8"/>
            <color indexed="81"/>
            <rFont val="Tahoma"/>
            <family val="2"/>
          </rPr>
          <t xml:space="preserve">
STGIPS</t>
        </r>
        <r>
          <rPr>
            <sz val="8"/>
            <color indexed="81"/>
            <rFont val="Tahoma"/>
            <family val="2"/>
          </rPr>
          <t xml:space="preserve"> (Pump Storage IP)</t>
        </r>
        <r>
          <rPr>
            <b/>
            <sz val="8"/>
            <color indexed="81"/>
            <rFont val="Tahoma"/>
            <family val="2"/>
          </rPr>
          <t xml:space="preserve">
PRE </t>
        </r>
        <r>
          <rPr>
            <sz val="8"/>
            <color indexed="81"/>
            <rFont val="Tahoma"/>
            <family val="2"/>
          </rPr>
          <t>(Genric Process/Technology)</t>
        </r>
        <r>
          <rPr>
            <b/>
            <sz val="8"/>
            <color indexed="81"/>
            <rFont val="Tahoma"/>
            <family val="2"/>
          </rPr>
          <t xml:space="preserve">
DMD</t>
        </r>
        <r>
          <rPr>
            <sz val="8"/>
            <color indexed="81"/>
            <rFont val="Tahoma"/>
            <family val="2"/>
          </rPr>
          <t xml:space="preserve"> (Demand Device)</t>
        </r>
        <r>
          <rPr>
            <b/>
            <sz val="8"/>
            <color indexed="81"/>
            <rFont val="Tahoma"/>
            <family val="2"/>
          </rPr>
          <t xml:space="preserve">
IMP </t>
        </r>
        <r>
          <rPr>
            <sz val="8"/>
            <color indexed="81"/>
            <rFont val="Tahoma"/>
            <family val="2"/>
          </rPr>
          <t xml:space="preserve">(Import)
</t>
        </r>
        <r>
          <rPr>
            <b/>
            <sz val="8"/>
            <color indexed="81"/>
            <rFont val="Tahoma"/>
            <family val="2"/>
          </rPr>
          <t>EXP</t>
        </r>
        <r>
          <rPr>
            <sz val="8"/>
            <color indexed="81"/>
            <rFont val="Tahoma"/>
            <family val="2"/>
          </rPr>
          <t xml:space="preserve"> (Export)</t>
        </r>
        <r>
          <rPr>
            <b/>
            <sz val="8"/>
            <color indexed="81"/>
            <rFont val="Tahoma"/>
            <family val="2"/>
          </rPr>
          <t xml:space="preserve">
MIN </t>
        </r>
        <r>
          <rPr>
            <sz val="8"/>
            <color indexed="81"/>
            <rFont val="Tahoma"/>
            <family val="2"/>
          </rPr>
          <t>(Mining Process)</t>
        </r>
        <r>
          <rPr>
            <b/>
            <sz val="8"/>
            <color indexed="81"/>
            <rFont val="Tahoma"/>
            <family val="2"/>
          </rPr>
          <t xml:space="preserve">
RNW </t>
        </r>
        <r>
          <rPr>
            <sz val="8"/>
            <color indexed="81"/>
            <rFont val="Tahoma"/>
            <family val="2"/>
          </rPr>
          <t>(Renewable Technology)</t>
        </r>
        <r>
          <rPr>
            <b/>
            <sz val="8"/>
            <color indexed="81"/>
            <rFont val="Tahoma"/>
            <family val="2"/>
          </rPr>
          <t xml:space="preserve">
HPL</t>
        </r>
        <r>
          <rPr>
            <sz val="8"/>
            <color indexed="81"/>
            <rFont val="Tahoma"/>
            <family val="2"/>
          </rPr>
          <t xml:space="preserve"> (Heating Plant)</t>
        </r>
      </text>
    </comment>
  </commentList>
</comments>
</file>

<file path=xl/comments2.xml><?xml version="1.0" encoding="utf-8"?>
<comments xmlns="http://schemas.openxmlformats.org/spreadsheetml/2006/main">
  <authors>
    <author>Gary Goldstein</author>
    <author>Amit Kanudia</author>
    <author>Maurizio Gargiulo</author>
  </authors>
  <commentList>
    <comment ref="I3" authorId="0" shapeId="0">
      <text>
        <r>
          <rPr>
            <sz val="8"/>
            <color indexed="81"/>
            <rFont val="Tahoma"/>
            <family val="2"/>
          </rPr>
          <t xml:space="preserve">Csets declarations are inherited until the next one is encountered.
Allowed Cset:
</t>
        </r>
        <r>
          <rPr>
            <b/>
            <sz val="8"/>
            <color indexed="81"/>
            <rFont val="Tahoma"/>
            <family val="2"/>
          </rPr>
          <t>NRG</t>
        </r>
        <r>
          <rPr>
            <sz val="8"/>
            <color indexed="81"/>
            <rFont val="Tahoma"/>
            <family val="2"/>
          </rPr>
          <t xml:space="preserve"> (Energy)
</t>
        </r>
        <r>
          <rPr>
            <b/>
            <sz val="8"/>
            <color indexed="81"/>
            <rFont val="Tahoma"/>
            <family val="2"/>
          </rPr>
          <t>ENV</t>
        </r>
        <r>
          <rPr>
            <sz val="8"/>
            <color indexed="81"/>
            <rFont val="Tahoma"/>
            <family val="2"/>
          </rPr>
          <t xml:space="preserve"> (Emission)
</t>
        </r>
        <r>
          <rPr>
            <b/>
            <sz val="8"/>
            <color indexed="81"/>
            <rFont val="Tahoma"/>
            <family val="2"/>
          </rPr>
          <t>DEM</t>
        </r>
        <r>
          <rPr>
            <sz val="8"/>
            <color indexed="81"/>
            <rFont val="Tahoma"/>
            <family val="2"/>
          </rPr>
          <t xml:space="preserve"> (Demand)
</t>
        </r>
        <r>
          <rPr>
            <b/>
            <sz val="8"/>
            <color indexed="81"/>
            <rFont val="Tahoma"/>
            <family val="2"/>
          </rPr>
          <t>MAT</t>
        </r>
        <r>
          <rPr>
            <sz val="8"/>
            <color indexed="81"/>
            <rFont val="Tahoma"/>
            <family val="2"/>
          </rPr>
          <t xml:space="preserve"> (Material)
</t>
        </r>
        <r>
          <rPr>
            <b/>
            <sz val="8"/>
            <color indexed="81"/>
            <rFont val="Tahoma"/>
            <family val="2"/>
          </rPr>
          <t>FIN</t>
        </r>
        <r>
          <rPr>
            <sz val="8"/>
            <color indexed="81"/>
            <rFont val="Tahoma"/>
            <family val="2"/>
          </rPr>
          <t xml:space="preserve"> (Financial)</t>
        </r>
      </text>
    </comment>
    <comment ref="N3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LO for PRODUCTION &gt;= CONSUMPTION (Default)
FX for PRODUCTION = CONSUMPTION
UP for PRODUCTION &lt;= CONSUMPTION</t>
        </r>
      </text>
    </comment>
    <comment ref="O3" authorId="2" shapeId="0">
      <text>
        <r>
          <rPr>
            <sz val="8"/>
            <color indexed="81"/>
            <rFont val="Tahoma"/>
            <family val="2"/>
          </rPr>
          <t>Allowed CTSLvl</t>
        </r>
        <r>
          <rPr>
            <b/>
            <sz val="8"/>
            <color indexed="81"/>
            <rFont val="Tahoma"/>
            <family val="2"/>
          </rPr>
          <t xml:space="preserve">
SEASON</t>
        </r>
        <r>
          <rPr>
            <sz val="8"/>
            <color indexed="81"/>
            <rFont val="Tahoma"/>
            <family val="2"/>
          </rPr>
          <t xml:space="preserve"> (Seasonal level)</t>
        </r>
        <r>
          <rPr>
            <b/>
            <sz val="8"/>
            <color indexed="81"/>
            <rFont val="Tahoma"/>
            <family val="2"/>
          </rPr>
          <t xml:space="preserve">
WEEKLY</t>
        </r>
        <r>
          <rPr>
            <sz val="8"/>
            <color indexed="81"/>
            <rFont val="Tahoma"/>
            <family val="2"/>
          </rPr>
          <t xml:space="preserve"> (Weekly level)</t>
        </r>
        <r>
          <rPr>
            <b/>
            <sz val="8"/>
            <color indexed="81"/>
            <rFont val="Tahoma"/>
            <family val="2"/>
          </rPr>
          <t xml:space="preserve">
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P3" authorId="2" shapeId="0">
      <text>
        <r>
          <rPr>
            <sz val="8"/>
            <color indexed="81"/>
            <rFont val="Tahoma"/>
            <family val="2"/>
          </rPr>
          <t>Allowed PeakTS</t>
        </r>
        <r>
          <rPr>
            <b/>
            <sz val="8"/>
            <color indexed="81"/>
            <rFont val="Tahoma"/>
            <family val="2"/>
          </rPr>
          <t xml:space="preserve">
ANNUAL </t>
        </r>
        <r>
          <rPr>
            <sz val="8"/>
            <color indexed="81"/>
            <rFont val="Tahoma"/>
            <family val="2"/>
          </rPr>
          <t>(to generate Peak Equation for all the TimeSlices)</t>
        </r>
        <r>
          <rPr>
            <b/>
            <sz val="8"/>
            <color indexed="81"/>
            <rFont val="Tahoma"/>
            <family val="2"/>
          </rPr>
          <t xml:space="preserve">
User TS </t>
        </r>
        <r>
          <rPr>
            <sz val="8"/>
            <color indexed="81"/>
            <rFont val="Tahoma"/>
            <family val="2"/>
          </rPr>
          <t>(to generate Peak Equation for a single TS)</t>
        </r>
      </text>
    </comment>
    <comment ref="Q3" authorId="2" shapeId="0">
      <text>
        <r>
          <rPr>
            <sz val="8"/>
            <color indexed="81"/>
            <rFont val="Tahoma"/>
            <family val="2"/>
          </rPr>
          <t xml:space="preserve">Allowed Ctype
</t>
        </r>
        <r>
          <rPr>
            <b/>
            <sz val="8"/>
            <color indexed="81"/>
            <rFont val="Tahoma"/>
            <family val="2"/>
          </rPr>
          <t>ELC</t>
        </r>
        <r>
          <rPr>
            <sz val="8"/>
            <color indexed="81"/>
            <rFont val="Tahoma"/>
            <family val="2"/>
          </rPr>
          <t xml:space="preserve"> (Electricity)</t>
        </r>
      </text>
    </comment>
    <comment ref="G8" authorId="2" shapeId="0">
      <text>
        <r>
          <rPr>
            <sz val="8"/>
            <color indexed="81"/>
            <rFont val="Tahoma"/>
            <family val="2"/>
          </rPr>
          <t xml:space="preserve">This attribute is used to assign a production limit.
By defautt is defined like fixed share
</t>
        </r>
        <r>
          <rPr>
            <b/>
            <sz val="8"/>
            <color indexed="81"/>
            <rFont val="Tahoma"/>
            <family val="2"/>
          </rPr>
          <t>UP</t>
        </r>
        <r>
          <rPr>
            <sz val="8"/>
            <color indexed="81"/>
            <rFont val="Tahoma"/>
            <family val="2"/>
          </rPr>
          <t xml:space="preserve">
If you want fix or lower add
</t>
        </r>
        <r>
          <rPr>
            <b/>
            <sz val="8"/>
            <color indexed="81"/>
            <rFont val="Tahoma"/>
            <family val="2"/>
          </rPr>
          <t>~FX
~LO</t>
        </r>
      </text>
    </comment>
    <comment ref="O8" authorId="2" shapeId="0">
      <text>
        <r>
          <rPr>
            <sz val="8"/>
            <color indexed="81"/>
            <rFont val="Tahoma"/>
            <family val="2"/>
          </rPr>
          <t xml:space="preserve">Allowed TsLvl
</t>
        </r>
        <r>
          <rPr>
            <b/>
            <sz val="8"/>
            <color indexed="81"/>
            <rFont val="Tahoma"/>
            <family val="2"/>
          </rPr>
          <t>ANNUAL</t>
        </r>
        <r>
          <rPr>
            <sz val="8"/>
            <color indexed="81"/>
            <rFont val="Tahoma"/>
            <family val="2"/>
          </rPr>
          <t xml:space="preserve"> (Annual level)
</t>
        </r>
        <r>
          <rPr>
            <b/>
            <sz val="8"/>
            <color indexed="81"/>
            <rFont val="Tahoma"/>
            <family val="2"/>
          </rPr>
          <t>SEASON</t>
        </r>
        <r>
          <rPr>
            <sz val="8"/>
            <color indexed="81"/>
            <rFont val="Tahoma"/>
            <family val="2"/>
          </rPr>
          <t xml:space="preserve"> (Seasonal level)
</t>
        </r>
        <r>
          <rPr>
            <b/>
            <sz val="8"/>
            <color indexed="81"/>
            <rFont val="Tahoma"/>
            <family val="2"/>
          </rPr>
          <t>WEEKLY</t>
        </r>
        <r>
          <rPr>
            <sz val="8"/>
            <color indexed="81"/>
            <rFont val="Tahoma"/>
            <family val="2"/>
          </rPr>
          <t xml:space="preserve"> (Weekly level)
</t>
        </r>
        <r>
          <rPr>
            <b/>
            <sz val="8"/>
            <color indexed="81"/>
            <rFont val="Tahoma"/>
            <family val="2"/>
          </rPr>
          <t>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P8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Needed only when one wants to override the VEDA default assignment
</t>
        </r>
      </text>
    </comment>
    <comment ref="Q8" authorId="2" shapeId="0">
      <text>
        <r>
          <rPr>
            <sz val="8"/>
            <color indexed="81"/>
            <rFont val="Tahoma"/>
            <family val="2"/>
          </rPr>
          <t>Allowed Vintage</t>
        </r>
        <r>
          <rPr>
            <b/>
            <sz val="8"/>
            <color indexed="81"/>
            <rFont val="Tahoma"/>
            <family val="2"/>
          </rPr>
          <t xml:space="preserve">
NO</t>
        </r>
        <r>
          <rPr>
            <sz val="8"/>
            <color indexed="81"/>
            <rFont val="Tahoma"/>
            <family val="2"/>
          </rPr>
          <t xml:space="preserve"> (if empty by default mean </t>
        </r>
        <r>
          <rPr>
            <b/>
            <sz val="8"/>
            <color indexed="81"/>
            <rFont val="Tahoma"/>
            <family val="2"/>
          </rPr>
          <t>NO</t>
        </r>
        <r>
          <rPr>
            <sz val="8"/>
            <color indexed="81"/>
            <rFont val="Tahoma"/>
            <family val="2"/>
          </rPr>
          <t>)</t>
        </r>
        <r>
          <rPr>
            <b/>
            <sz val="8"/>
            <color indexed="81"/>
            <rFont val="Tahoma"/>
            <family val="2"/>
          </rPr>
          <t xml:space="preserve">
YES</t>
        </r>
      </text>
    </comment>
    <comment ref="I9" authorId="2" shapeId="0">
      <text>
        <r>
          <rPr>
            <sz val="8"/>
            <color indexed="81"/>
            <rFont val="Tahoma"/>
            <family val="2"/>
          </rPr>
          <t xml:space="preserve">Sets declarations are </t>
        </r>
        <r>
          <rPr>
            <sz val="8"/>
            <color indexed="81"/>
            <rFont val="Tahoma"/>
            <family val="2"/>
          </rPr>
          <t>inherited. 
Allowed Process Sets</t>
        </r>
        <r>
          <rPr>
            <b/>
            <sz val="8"/>
            <color indexed="81"/>
            <rFont val="Tahoma"/>
            <family val="2"/>
          </rPr>
          <t xml:space="preserve">
ELE </t>
        </r>
        <r>
          <rPr>
            <sz val="8"/>
            <color indexed="81"/>
            <rFont val="Tahoma"/>
            <family val="2"/>
          </rPr>
          <t>(Thermal Electric Power Plant)</t>
        </r>
        <r>
          <rPr>
            <b/>
            <sz val="8"/>
            <color indexed="81"/>
            <rFont val="Tahoma"/>
            <family val="2"/>
          </rPr>
          <t xml:space="preserve">
CHP </t>
        </r>
        <r>
          <rPr>
            <sz val="8"/>
            <color indexed="81"/>
            <rFont val="Tahoma"/>
            <family val="2"/>
          </rPr>
          <t>(Combined Heat and Power)</t>
        </r>
        <r>
          <rPr>
            <b/>
            <sz val="8"/>
            <color indexed="81"/>
            <rFont val="Tahoma"/>
            <family val="2"/>
          </rPr>
          <t xml:space="preserve">
STGTSS </t>
        </r>
        <r>
          <rPr>
            <sz val="8"/>
            <color indexed="81"/>
            <rFont val="Tahoma"/>
            <family val="2"/>
          </rPr>
          <t>(Pump Storage)</t>
        </r>
        <r>
          <rPr>
            <b/>
            <sz val="8"/>
            <color indexed="81"/>
            <rFont val="Tahoma"/>
            <family val="2"/>
          </rPr>
          <t xml:space="preserve">
STGIPS</t>
        </r>
        <r>
          <rPr>
            <sz val="8"/>
            <color indexed="81"/>
            <rFont val="Tahoma"/>
            <family val="2"/>
          </rPr>
          <t xml:space="preserve"> (Pump Storage IP)</t>
        </r>
        <r>
          <rPr>
            <b/>
            <sz val="8"/>
            <color indexed="81"/>
            <rFont val="Tahoma"/>
            <family val="2"/>
          </rPr>
          <t xml:space="preserve">
PRE </t>
        </r>
        <r>
          <rPr>
            <sz val="8"/>
            <color indexed="81"/>
            <rFont val="Tahoma"/>
            <family val="2"/>
          </rPr>
          <t>(Genric Process/Technology)</t>
        </r>
        <r>
          <rPr>
            <b/>
            <sz val="8"/>
            <color indexed="81"/>
            <rFont val="Tahoma"/>
            <family val="2"/>
          </rPr>
          <t xml:space="preserve">
DMD</t>
        </r>
        <r>
          <rPr>
            <sz val="8"/>
            <color indexed="81"/>
            <rFont val="Tahoma"/>
            <family val="2"/>
          </rPr>
          <t xml:space="preserve"> (Demand Device)</t>
        </r>
        <r>
          <rPr>
            <b/>
            <sz val="8"/>
            <color indexed="81"/>
            <rFont val="Tahoma"/>
            <family val="2"/>
          </rPr>
          <t xml:space="preserve">
IMP </t>
        </r>
        <r>
          <rPr>
            <sz val="8"/>
            <color indexed="81"/>
            <rFont val="Tahoma"/>
            <family val="2"/>
          </rPr>
          <t xml:space="preserve">(Import)
</t>
        </r>
        <r>
          <rPr>
            <b/>
            <sz val="8"/>
            <color indexed="81"/>
            <rFont val="Tahoma"/>
            <family val="2"/>
          </rPr>
          <t>EXP</t>
        </r>
        <r>
          <rPr>
            <sz val="8"/>
            <color indexed="81"/>
            <rFont val="Tahoma"/>
            <family val="2"/>
          </rPr>
          <t xml:space="preserve"> (Export)</t>
        </r>
        <r>
          <rPr>
            <b/>
            <sz val="8"/>
            <color indexed="81"/>
            <rFont val="Tahoma"/>
            <family val="2"/>
          </rPr>
          <t xml:space="preserve">
MIN </t>
        </r>
        <r>
          <rPr>
            <sz val="8"/>
            <color indexed="81"/>
            <rFont val="Tahoma"/>
            <family val="2"/>
          </rPr>
          <t>(Mining Process)</t>
        </r>
        <r>
          <rPr>
            <b/>
            <sz val="8"/>
            <color indexed="81"/>
            <rFont val="Tahoma"/>
            <family val="2"/>
          </rPr>
          <t xml:space="preserve">
RNW </t>
        </r>
        <r>
          <rPr>
            <sz val="8"/>
            <color indexed="81"/>
            <rFont val="Tahoma"/>
            <family val="2"/>
          </rPr>
          <t>(Renewable Technology)</t>
        </r>
        <r>
          <rPr>
            <b/>
            <sz val="8"/>
            <color indexed="81"/>
            <rFont val="Tahoma"/>
            <family val="2"/>
          </rPr>
          <t xml:space="preserve">
HPL</t>
        </r>
        <r>
          <rPr>
            <sz val="8"/>
            <color indexed="81"/>
            <rFont val="Tahoma"/>
            <family val="2"/>
          </rPr>
          <t xml:space="preserve"> (Heating Plant)</t>
        </r>
      </text>
    </comment>
  </commentList>
</comments>
</file>

<file path=xl/comments3.xml><?xml version="1.0" encoding="utf-8"?>
<comments xmlns="http://schemas.openxmlformats.org/spreadsheetml/2006/main">
  <authors>
    <author>Gary Goldstein</author>
    <author>Amit Kanudia</author>
    <author>Maurizio Gargiulo</author>
  </authors>
  <commentList>
    <comment ref="I3" authorId="0" shapeId="0">
      <text>
        <r>
          <rPr>
            <sz val="8"/>
            <color indexed="81"/>
            <rFont val="Tahoma"/>
            <family val="2"/>
          </rPr>
          <t xml:space="preserve">Csets declarations are inherited until the next one is encountered.
Allowed Cset:
</t>
        </r>
        <r>
          <rPr>
            <b/>
            <sz val="8"/>
            <color indexed="81"/>
            <rFont val="Tahoma"/>
            <family val="2"/>
          </rPr>
          <t>NRG</t>
        </r>
        <r>
          <rPr>
            <sz val="8"/>
            <color indexed="81"/>
            <rFont val="Tahoma"/>
            <family val="2"/>
          </rPr>
          <t xml:space="preserve"> (Energy)
</t>
        </r>
        <r>
          <rPr>
            <b/>
            <sz val="8"/>
            <color indexed="81"/>
            <rFont val="Tahoma"/>
            <family val="2"/>
          </rPr>
          <t>ENV</t>
        </r>
        <r>
          <rPr>
            <sz val="8"/>
            <color indexed="81"/>
            <rFont val="Tahoma"/>
            <family val="2"/>
          </rPr>
          <t xml:space="preserve"> (Emission)
</t>
        </r>
        <r>
          <rPr>
            <b/>
            <sz val="8"/>
            <color indexed="81"/>
            <rFont val="Tahoma"/>
            <family val="2"/>
          </rPr>
          <t>DEM</t>
        </r>
        <r>
          <rPr>
            <sz val="8"/>
            <color indexed="81"/>
            <rFont val="Tahoma"/>
            <family val="2"/>
          </rPr>
          <t xml:space="preserve"> (Demand)
</t>
        </r>
        <r>
          <rPr>
            <b/>
            <sz val="8"/>
            <color indexed="81"/>
            <rFont val="Tahoma"/>
            <family val="2"/>
          </rPr>
          <t>MAT</t>
        </r>
        <r>
          <rPr>
            <sz val="8"/>
            <color indexed="81"/>
            <rFont val="Tahoma"/>
            <family val="2"/>
          </rPr>
          <t xml:space="preserve"> (Material)
</t>
        </r>
        <r>
          <rPr>
            <b/>
            <sz val="8"/>
            <color indexed="81"/>
            <rFont val="Tahoma"/>
            <family val="2"/>
          </rPr>
          <t>FIN</t>
        </r>
        <r>
          <rPr>
            <sz val="8"/>
            <color indexed="81"/>
            <rFont val="Tahoma"/>
            <family val="2"/>
          </rPr>
          <t xml:space="preserve"> (Financial)</t>
        </r>
      </text>
    </comment>
    <comment ref="N3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LO for PRODUCTION &gt;= CONSUMPTION (Default)
FX for PRODUCTION = CONSUMPTION
UP for PRODUCTION &lt;= CONSUMPTION</t>
        </r>
      </text>
    </comment>
    <comment ref="O3" authorId="2" shapeId="0">
      <text>
        <r>
          <rPr>
            <sz val="8"/>
            <color indexed="81"/>
            <rFont val="Tahoma"/>
            <family val="2"/>
          </rPr>
          <t>Allowed CTSLvl</t>
        </r>
        <r>
          <rPr>
            <b/>
            <sz val="8"/>
            <color indexed="81"/>
            <rFont val="Tahoma"/>
            <family val="2"/>
          </rPr>
          <t xml:space="preserve">
SEASON</t>
        </r>
        <r>
          <rPr>
            <sz val="8"/>
            <color indexed="81"/>
            <rFont val="Tahoma"/>
            <family val="2"/>
          </rPr>
          <t xml:space="preserve"> (Seasonal level)</t>
        </r>
        <r>
          <rPr>
            <b/>
            <sz val="8"/>
            <color indexed="81"/>
            <rFont val="Tahoma"/>
            <family val="2"/>
          </rPr>
          <t xml:space="preserve">
WEEKLY</t>
        </r>
        <r>
          <rPr>
            <sz val="8"/>
            <color indexed="81"/>
            <rFont val="Tahoma"/>
            <family val="2"/>
          </rPr>
          <t xml:space="preserve"> (Weekly level)</t>
        </r>
        <r>
          <rPr>
            <b/>
            <sz val="8"/>
            <color indexed="81"/>
            <rFont val="Tahoma"/>
            <family val="2"/>
          </rPr>
          <t xml:space="preserve">
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P3" authorId="2" shapeId="0">
      <text>
        <r>
          <rPr>
            <sz val="8"/>
            <color indexed="81"/>
            <rFont val="Tahoma"/>
            <family val="2"/>
          </rPr>
          <t>Allowed PeakTS</t>
        </r>
        <r>
          <rPr>
            <b/>
            <sz val="8"/>
            <color indexed="81"/>
            <rFont val="Tahoma"/>
            <family val="2"/>
          </rPr>
          <t xml:space="preserve">
ANNUAL </t>
        </r>
        <r>
          <rPr>
            <sz val="8"/>
            <color indexed="81"/>
            <rFont val="Tahoma"/>
            <family val="2"/>
          </rPr>
          <t>(to generate Peak Equation for all the TimeSlices)</t>
        </r>
        <r>
          <rPr>
            <b/>
            <sz val="8"/>
            <color indexed="81"/>
            <rFont val="Tahoma"/>
            <family val="2"/>
          </rPr>
          <t xml:space="preserve">
User TS </t>
        </r>
        <r>
          <rPr>
            <sz val="8"/>
            <color indexed="81"/>
            <rFont val="Tahoma"/>
            <family val="2"/>
          </rPr>
          <t>(to generate Peak Equation for a single TS)</t>
        </r>
      </text>
    </comment>
    <comment ref="Q3" authorId="2" shapeId="0">
      <text>
        <r>
          <rPr>
            <sz val="8"/>
            <color indexed="81"/>
            <rFont val="Tahoma"/>
            <family val="2"/>
          </rPr>
          <t xml:space="preserve">Allowed Ctype
</t>
        </r>
        <r>
          <rPr>
            <b/>
            <sz val="8"/>
            <color indexed="81"/>
            <rFont val="Tahoma"/>
            <family val="2"/>
          </rPr>
          <t>ELC</t>
        </r>
        <r>
          <rPr>
            <sz val="8"/>
            <color indexed="81"/>
            <rFont val="Tahoma"/>
            <family val="2"/>
          </rPr>
          <t xml:space="preserve"> (Electricity)</t>
        </r>
      </text>
    </comment>
    <comment ref="G8" authorId="2" shapeId="0">
      <text>
        <r>
          <rPr>
            <sz val="8"/>
            <color indexed="81"/>
            <rFont val="Tahoma"/>
            <family val="2"/>
          </rPr>
          <t xml:space="preserve">This attribute is used to assign a production limit.
By defautt is defined like fixed share
</t>
        </r>
        <r>
          <rPr>
            <b/>
            <sz val="8"/>
            <color indexed="81"/>
            <rFont val="Tahoma"/>
            <family val="2"/>
          </rPr>
          <t>UP</t>
        </r>
        <r>
          <rPr>
            <sz val="8"/>
            <color indexed="81"/>
            <rFont val="Tahoma"/>
            <family val="2"/>
          </rPr>
          <t xml:space="preserve">
If you want fix or lower add
</t>
        </r>
        <r>
          <rPr>
            <b/>
            <sz val="8"/>
            <color indexed="81"/>
            <rFont val="Tahoma"/>
            <family val="2"/>
          </rPr>
          <t>~FX
~LO</t>
        </r>
      </text>
    </comment>
    <comment ref="O8" authorId="2" shapeId="0">
      <text>
        <r>
          <rPr>
            <sz val="8"/>
            <color indexed="81"/>
            <rFont val="Tahoma"/>
            <family val="2"/>
          </rPr>
          <t xml:space="preserve">Allowed TsLvl
</t>
        </r>
        <r>
          <rPr>
            <b/>
            <sz val="8"/>
            <color indexed="81"/>
            <rFont val="Tahoma"/>
            <family val="2"/>
          </rPr>
          <t>ANNUAL</t>
        </r>
        <r>
          <rPr>
            <sz val="8"/>
            <color indexed="81"/>
            <rFont val="Tahoma"/>
            <family val="2"/>
          </rPr>
          <t xml:space="preserve"> (Annual level)
</t>
        </r>
        <r>
          <rPr>
            <b/>
            <sz val="8"/>
            <color indexed="81"/>
            <rFont val="Tahoma"/>
            <family val="2"/>
          </rPr>
          <t>SEASON</t>
        </r>
        <r>
          <rPr>
            <sz val="8"/>
            <color indexed="81"/>
            <rFont val="Tahoma"/>
            <family val="2"/>
          </rPr>
          <t xml:space="preserve"> (Seasonal level)
</t>
        </r>
        <r>
          <rPr>
            <b/>
            <sz val="8"/>
            <color indexed="81"/>
            <rFont val="Tahoma"/>
            <family val="2"/>
          </rPr>
          <t>WEEKLY</t>
        </r>
        <r>
          <rPr>
            <sz val="8"/>
            <color indexed="81"/>
            <rFont val="Tahoma"/>
            <family val="2"/>
          </rPr>
          <t xml:space="preserve"> (Weekly level)
</t>
        </r>
        <r>
          <rPr>
            <b/>
            <sz val="8"/>
            <color indexed="81"/>
            <rFont val="Tahoma"/>
            <family val="2"/>
          </rPr>
          <t>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P8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Needed only when one wants to override the VEDA default assignment
</t>
        </r>
      </text>
    </comment>
    <comment ref="Q8" authorId="2" shapeId="0">
      <text>
        <r>
          <rPr>
            <sz val="8"/>
            <color indexed="81"/>
            <rFont val="Tahoma"/>
            <family val="2"/>
          </rPr>
          <t>Allowed Vintage</t>
        </r>
        <r>
          <rPr>
            <b/>
            <sz val="8"/>
            <color indexed="81"/>
            <rFont val="Tahoma"/>
            <family val="2"/>
          </rPr>
          <t xml:space="preserve">
NO</t>
        </r>
        <r>
          <rPr>
            <sz val="8"/>
            <color indexed="81"/>
            <rFont val="Tahoma"/>
            <family val="2"/>
          </rPr>
          <t xml:space="preserve"> (if empty by default mean </t>
        </r>
        <r>
          <rPr>
            <b/>
            <sz val="8"/>
            <color indexed="81"/>
            <rFont val="Tahoma"/>
            <family val="2"/>
          </rPr>
          <t>NO</t>
        </r>
        <r>
          <rPr>
            <sz val="8"/>
            <color indexed="81"/>
            <rFont val="Tahoma"/>
            <family val="2"/>
          </rPr>
          <t>)</t>
        </r>
        <r>
          <rPr>
            <b/>
            <sz val="8"/>
            <color indexed="81"/>
            <rFont val="Tahoma"/>
            <family val="2"/>
          </rPr>
          <t xml:space="preserve">
YES</t>
        </r>
      </text>
    </comment>
    <comment ref="I9" authorId="2" shapeId="0">
      <text>
        <r>
          <rPr>
            <sz val="8"/>
            <color indexed="81"/>
            <rFont val="Tahoma"/>
            <family val="2"/>
          </rPr>
          <t xml:space="preserve">Sets declarations are </t>
        </r>
        <r>
          <rPr>
            <sz val="8"/>
            <color indexed="81"/>
            <rFont val="Tahoma"/>
            <family val="2"/>
          </rPr>
          <t>inherited. 
Allowed Process Sets</t>
        </r>
        <r>
          <rPr>
            <b/>
            <sz val="8"/>
            <color indexed="81"/>
            <rFont val="Tahoma"/>
            <family val="2"/>
          </rPr>
          <t xml:space="preserve">
ELE </t>
        </r>
        <r>
          <rPr>
            <sz val="8"/>
            <color indexed="81"/>
            <rFont val="Tahoma"/>
            <family val="2"/>
          </rPr>
          <t>(Thermal Electric Power Plant)</t>
        </r>
        <r>
          <rPr>
            <b/>
            <sz val="8"/>
            <color indexed="81"/>
            <rFont val="Tahoma"/>
            <family val="2"/>
          </rPr>
          <t xml:space="preserve">
CHP </t>
        </r>
        <r>
          <rPr>
            <sz val="8"/>
            <color indexed="81"/>
            <rFont val="Tahoma"/>
            <family val="2"/>
          </rPr>
          <t>(Combined Heat and Power)</t>
        </r>
        <r>
          <rPr>
            <b/>
            <sz val="8"/>
            <color indexed="81"/>
            <rFont val="Tahoma"/>
            <family val="2"/>
          </rPr>
          <t xml:space="preserve">
STGTSS </t>
        </r>
        <r>
          <rPr>
            <sz val="8"/>
            <color indexed="81"/>
            <rFont val="Tahoma"/>
            <family val="2"/>
          </rPr>
          <t>(Pump Storage)</t>
        </r>
        <r>
          <rPr>
            <b/>
            <sz val="8"/>
            <color indexed="81"/>
            <rFont val="Tahoma"/>
            <family val="2"/>
          </rPr>
          <t xml:space="preserve">
STGIPS</t>
        </r>
        <r>
          <rPr>
            <sz val="8"/>
            <color indexed="81"/>
            <rFont val="Tahoma"/>
            <family val="2"/>
          </rPr>
          <t xml:space="preserve"> (Pump Storage IP)</t>
        </r>
        <r>
          <rPr>
            <b/>
            <sz val="8"/>
            <color indexed="81"/>
            <rFont val="Tahoma"/>
            <family val="2"/>
          </rPr>
          <t xml:space="preserve">
PRE </t>
        </r>
        <r>
          <rPr>
            <sz val="8"/>
            <color indexed="81"/>
            <rFont val="Tahoma"/>
            <family val="2"/>
          </rPr>
          <t>(Genric Process/Technology)</t>
        </r>
        <r>
          <rPr>
            <b/>
            <sz val="8"/>
            <color indexed="81"/>
            <rFont val="Tahoma"/>
            <family val="2"/>
          </rPr>
          <t xml:space="preserve">
DMD</t>
        </r>
        <r>
          <rPr>
            <sz val="8"/>
            <color indexed="81"/>
            <rFont val="Tahoma"/>
            <family val="2"/>
          </rPr>
          <t xml:space="preserve"> (Demand Device)</t>
        </r>
        <r>
          <rPr>
            <b/>
            <sz val="8"/>
            <color indexed="81"/>
            <rFont val="Tahoma"/>
            <family val="2"/>
          </rPr>
          <t xml:space="preserve">
IMP </t>
        </r>
        <r>
          <rPr>
            <sz val="8"/>
            <color indexed="81"/>
            <rFont val="Tahoma"/>
            <family val="2"/>
          </rPr>
          <t xml:space="preserve">(Import)
</t>
        </r>
        <r>
          <rPr>
            <b/>
            <sz val="8"/>
            <color indexed="81"/>
            <rFont val="Tahoma"/>
            <family val="2"/>
          </rPr>
          <t>EXP</t>
        </r>
        <r>
          <rPr>
            <sz val="8"/>
            <color indexed="81"/>
            <rFont val="Tahoma"/>
            <family val="2"/>
          </rPr>
          <t xml:space="preserve"> (Export)</t>
        </r>
        <r>
          <rPr>
            <b/>
            <sz val="8"/>
            <color indexed="81"/>
            <rFont val="Tahoma"/>
            <family val="2"/>
          </rPr>
          <t xml:space="preserve">
MIN </t>
        </r>
        <r>
          <rPr>
            <sz val="8"/>
            <color indexed="81"/>
            <rFont val="Tahoma"/>
            <family val="2"/>
          </rPr>
          <t>(Mining Process)</t>
        </r>
        <r>
          <rPr>
            <b/>
            <sz val="8"/>
            <color indexed="81"/>
            <rFont val="Tahoma"/>
            <family val="2"/>
          </rPr>
          <t xml:space="preserve">
RNW </t>
        </r>
        <r>
          <rPr>
            <sz val="8"/>
            <color indexed="81"/>
            <rFont val="Tahoma"/>
            <family val="2"/>
          </rPr>
          <t>(Renewable Technology)</t>
        </r>
        <r>
          <rPr>
            <b/>
            <sz val="8"/>
            <color indexed="81"/>
            <rFont val="Tahoma"/>
            <family val="2"/>
          </rPr>
          <t xml:space="preserve">
HPL</t>
        </r>
        <r>
          <rPr>
            <sz val="8"/>
            <color indexed="81"/>
            <rFont val="Tahoma"/>
            <family val="2"/>
          </rPr>
          <t xml:space="preserve"> (Heating Plant)</t>
        </r>
      </text>
    </comment>
  </commentList>
</comments>
</file>

<file path=xl/comments4.xml><?xml version="1.0" encoding="utf-8"?>
<comments xmlns="http://schemas.openxmlformats.org/spreadsheetml/2006/main">
  <authors>
    <author>Gary Goldstein</author>
    <author>Amit Kanudia</author>
    <author>Maurizio Gargiulo</author>
  </authors>
  <commentList>
    <comment ref="H3" authorId="0" shapeId="0">
      <text>
        <r>
          <rPr>
            <sz val="8"/>
            <color indexed="81"/>
            <rFont val="Tahoma"/>
            <family val="2"/>
          </rPr>
          <t xml:space="preserve">Csets declarations are inherited until the next one is encountered.
Allowed Cset:
</t>
        </r>
        <r>
          <rPr>
            <b/>
            <sz val="8"/>
            <color indexed="81"/>
            <rFont val="Tahoma"/>
            <family val="2"/>
          </rPr>
          <t>NRG</t>
        </r>
        <r>
          <rPr>
            <sz val="8"/>
            <color indexed="81"/>
            <rFont val="Tahoma"/>
            <family val="2"/>
          </rPr>
          <t xml:space="preserve"> (Energy)
</t>
        </r>
        <r>
          <rPr>
            <b/>
            <sz val="8"/>
            <color indexed="81"/>
            <rFont val="Tahoma"/>
            <family val="2"/>
          </rPr>
          <t>ENV</t>
        </r>
        <r>
          <rPr>
            <sz val="8"/>
            <color indexed="81"/>
            <rFont val="Tahoma"/>
            <family val="2"/>
          </rPr>
          <t xml:space="preserve"> (Emission)
</t>
        </r>
        <r>
          <rPr>
            <b/>
            <sz val="8"/>
            <color indexed="81"/>
            <rFont val="Tahoma"/>
            <family val="2"/>
          </rPr>
          <t>DEM</t>
        </r>
        <r>
          <rPr>
            <sz val="8"/>
            <color indexed="81"/>
            <rFont val="Tahoma"/>
            <family val="2"/>
          </rPr>
          <t xml:space="preserve"> (Demand)
</t>
        </r>
        <r>
          <rPr>
            <b/>
            <sz val="8"/>
            <color indexed="81"/>
            <rFont val="Tahoma"/>
            <family val="2"/>
          </rPr>
          <t>MAT</t>
        </r>
        <r>
          <rPr>
            <sz val="8"/>
            <color indexed="81"/>
            <rFont val="Tahoma"/>
            <family val="2"/>
          </rPr>
          <t xml:space="preserve"> (Material)
</t>
        </r>
        <r>
          <rPr>
            <b/>
            <sz val="8"/>
            <color indexed="81"/>
            <rFont val="Tahoma"/>
            <family val="2"/>
          </rPr>
          <t>FIN</t>
        </r>
        <r>
          <rPr>
            <sz val="8"/>
            <color indexed="81"/>
            <rFont val="Tahoma"/>
            <family val="2"/>
          </rPr>
          <t xml:space="preserve"> (Financial)</t>
        </r>
      </text>
    </comment>
    <comment ref="M3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LO for PRODUCTION &gt;= CONSUMPTION (Default)
FX for PRODUCTION = CONSUMPTION
UP for PRODUCTION &lt;= CONSUMPTION</t>
        </r>
      </text>
    </comment>
    <comment ref="N3" authorId="2" shapeId="0">
      <text>
        <r>
          <rPr>
            <sz val="8"/>
            <color indexed="81"/>
            <rFont val="Tahoma"/>
            <family val="2"/>
          </rPr>
          <t>Allowed CTSLvl</t>
        </r>
        <r>
          <rPr>
            <b/>
            <sz val="8"/>
            <color indexed="81"/>
            <rFont val="Tahoma"/>
            <family val="2"/>
          </rPr>
          <t xml:space="preserve">
SEASON</t>
        </r>
        <r>
          <rPr>
            <sz val="8"/>
            <color indexed="81"/>
            <rFont val="Tahoma"/>
            <family val="2"/>
          </rPr>
          <t xml:space="preserve"> (Seasonal level)</t>
        </r>
        <r>
          <rPr>
            <b/>
            <sz val="8"/>
            <color indexed="81"/>
            <rFont val="Tahoma"/>
            <family val="2"/>
          </rPr>
          <t xml:space="preserve">
WEEKLY</t>
        </r>
        <r>
          <rPr>
            <sz val="8"/>
            <color indexed="81"/>
            <rFont val="Tahoma"/>
            <family val="2"/>
          </rPr>
          <t xml:space="preserve"> (Weekly level)</t>
        </r>
        <r>
          <rPr>
            <b/>
            <sz val="8"/>
            <color indexed="81"/>
            <rFont val="Tahoma"/>
            <family val="2"/>
          </rPr>
          <t xml:space="preserve">
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O3" authorId="2" shapeId="0">
      <text>
        <r>
          <rPr>
            <sz val="8"/>
            <color indexed="81"/>
            <rFont val="Tahoma"/>
            <family val="2"/>
          </rPr>
          <t>Allowed PeakTS</t>
        </r>
        <r>
          <rPr>
            <b/>
            <sz val="8"/>
            <color indexed="81"/>
            <rFont val="Tahoma"/>
            <family val="2"/>
          </rPr>
          <t xml:space="preserve">
ANNUAL </t>
        </r>
        <r>
          <rPr>
            <sz val="8"/>
            <color indexed="81"/>
            <rFont val="Tahoma"/>
            <family val="2"/>
          </rPr>
          <t>(to generate Peak Equation for all the TimeSlices)</t>
        </r>
        <r>
          <rPr>
            <b/>
            <sz val="8"/>
            <color indexed="81"/>
            <rFont val="Tahoma"/>
            <family val="2"/>
          </rPr>
          <t xml:space="preserve">
User TS </t>
        </r>
        <r>
          <rPr>
            <sz val="8"/>
            <color indexed="81"/>
            <rFont val="Tahoma"/>
            <family val="2"/>
          </rPr>
          <t>(to generate Peak Equation for a single TS)</t>
        </r>
      </text>
    </comment>
    <comment ref="P3" authorId="2" shapeId="0">
      <text>
        <r>
          <rPr>
            <sz val="8"/>
            <color indexed="81"/>
            <rFont val="Tahoma"/>
            <family val="2"/>
          </rPr>
          <t xml:space="preserve">Allowed Ctype
</t>
        </r>
        <r>
          <rPr>
            <b/>
            <sz val="8"/>
            <color indexed="81"/>
            <rFont val="Tahoma"/>
            <family val="2"/>
          </rPr>
          <t>ELC</t>
        </r>
        <r>
          <rPr>
            <sz val="8"/>
            <color indexed="81"/>
            <rFont val="Tahoma"/>
            <family val="2"/>
          </rPr>
          <t xml:space="preserve"> (Electricity)</t>
        </r>
      </text>
    </comment>
    <comment ref="F11" authorId="2" shapeId="0">
      <text>
        <r>
          <rPr>
            <sz val="8"/>
            <color indexed="81"/>
            <rFont val="Tahoma"/>
            <family val="2"/>
          </rPr>
          <t xml:space="preserve">This attribute is used to assign a production limit.
By defautt is defined like fixed share
</t>
        </r>
        <r>
          <rPr>
            <b/>
            <sz val="8"/>
            <color indexed="81"/>
            <rFont val="Tahoma"/>
            <family val="2"/>
          </rPr>
          <t>UP</t>
        </r>
        <r>
          <rPr>
            <sz val="8"/>
            <color indexed="81"/>
            <rFont val="Tahoma"/>
            <family val="2"/>
          </rPr>
          <t xml:space="preserve">
If you want fix or lower add
</t>
        </r>
        <r>
          <rPr>
            <b/>
            <sz val="8"/>
            <color indexed="81"/>
            <rFont val="Tahoma"/>
            <family val="2"/>
          </rPr>
          <t>~FX
~LO</t>
        </r>
      </text>
    </comment>
    <comment ref="N11" authorId="2" shapeId="0">
      <text>
        <r>
          <rPr>
            <sz val="8"/>
            <color indexed="81"/>
            <rFont val="Tahoma"/>
            <family val="2"/>
          </rPr>
          <t xml:space="preserve">Allowed TsLvl
</t>
        </r>
        <r>
          <rPr>
            <b/>
            <sz val="8"/>
            <color indexed="81"/>
            <rFont val="Tahoma"/>
            <family val="2"/>
          </rPr>
          <t>ANNUAL</t>
        </r>
        <r>
          <rPr>
            <sz val="8"/>
            <color indexed="81"/>
            <rFont val="Tahoma"/>
            <family val="2"/>
          </rPr>
          <t xml:space="preserve"> (Annual level)
</t>
        </r>
        <r>
          <rPr>
            <b/>
            <sz val="8"/>
            <color indexed="81"/>
            <rFont val="Tahoma"/>
            <family val="2"/>
          </rPr>
          <t>SEASON</t>
        </r>
        <r>
          <rPr>
            <sz val="8"/>
            <color indexed="81"/>
            <rFont val="Tahoma"/>
            <family val="2"/>
          </rPr>
          <t xml:space="preserve"> (Seasonal level)
</t>
        </r>
        <r>
          <rPr>
            <b/>
            <sz val="8"/>
            <color indexed="81"/>
            <rFont val="Tahoma"/>
            <family val="2"/>
          </rPr>
          <t>WEEKLY</t>
        </r>
        <r>
          <rPr>
            <sz val="8"/>
            <color indexed="81"/>
            <rFont val="Tahoma"/>
            <family val="2"/>
          </rPr>
          <t xml:space="preserve"> (Weekly level)
</t>
        </r>
        <r>
          <rPr>
            <b/>
            <sz val="8"/>
            <color indexed="81"/>
            <rFont val="Tahoma"/>
            <family val="2"/>
          </rPr>
          <t>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O11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Needed only when one wants to override the VEDA default assignment
</t>
        </r>
      </text>
    </comment>
    <comment ref="P11" authorId="2" shapeId="0">
      <text>
        <r>
          <rPr>
            <sz val="8"/>
            <color indexed="81"/>
            <rFont val="Tahoma"/>
            <family val="2"/>
          </rPr>
          <t>Allowed Vintage</t>
        </r>
        <r>
          <rPr>
            <b/>
            <sz val="8"/>
            <color indexed="81"/>
            <rFont val="Tahoma"/>
            <family val="2"/>
          </rPr>
          <t xml:space="preserve">
NO</t>
        </r>
        <r>
          <rPr>
            <sz val="8"/>
            <color indexed="81"/>
            <rFont val="Tahoma"/>
            <family val="2"/>
          </rPr>
          <t xml:space="preserve"> (if empty by default mean </t>
        </r>
        <r>
          <rPr>
            <b/>
            <sz val="8"/>
            <color indexed="81"/>
            <rFont val="Tahoma"/>
            <family val="2"/>
          </rPr>
          <t>NO</t>
        </r>
        <r>
          <rPr>
            <sz val="8"/>
            <color indexed="81"/>
            <rFont val="Tahoma"/>
            <family val="2"/>
          </rPr>
          <t>)</t>
        </r>
        <r>
          <rPr>
            <b/>
            <sz val="8"/>
            <color indexed="81"/>
            <rFont val="Tahoma"/>
            <family val="2"/>
          </rPr>
          <t xml:space="preserve">
YES</t>
        </r>
      </text>
    </comment>
    <comment ref="H12" authorId="2" shapeId="0">
      <text>
        <r>
          <rPr>
            <sz val="8"/>
            <color indexed="81"/>
            <rFont val="Tahoma"/>
            <family val="2"/>
          </rPr>
          <t xml:space="preserve">Sets declarations are </t>
        </r>
        <r>
          <rPr>
            <sz val="8"/>
            <color indexed="81"/>
            <rFont val="Tahoma"/>
            <family val="2"/>
          </rPr>
          <t>inherited. 
Allowed Process Sets</t>
        </r>
        <r>
          <rPr>
            <b/>
            <sz val="8"/>
            <color indexed="81"/>
            <rFont val="Tahoma"/>
            <family val="2"/>
          </rPr>
          <t xml:space="preserve">
ELE </t>
        </r>
        <r>
          <rPr>
            <sz val="8"/>
            <color indexed="81"/>
            <rFont val="Tahoma"/>
            <family val="2"/>
          </rPr>
          <t>(Thermal Electric Power Plant)</t>
        </r>
        <r>
          <rPr>
            <b/>
            <sz val="8"/>
            <color indexed="81"/>
            <rFont val="Tahoma"/>
            <family val="2"/>
          </rPr>
          <t xml:space="preserve">
CHP </t>
        </r>
        <r>
          <rPr>
            <sz val="8"/>
            <color indexed="81"/>
            <rFont val="Tahoma"/>
            <family val="2"/>
          </rPr>
          <t>(Combined Heat and Power)</t>
        </r>
        <r>
          <rPr>
            <b/>
            <sz val="8"/>
            <color indexed="81"/>
            <rFont val="Tahoma"/>
            <family val="2"/>
          </rPr>
          <t xml:space="preserve">
STGTSS </t>
        </r>
        <r>
          <rPr>
            <sz val="8"/>
            <color indexed="81"/>
            <rFont val="Tahoma"/>
            <family val="2"/>
          </rPr>
          <t>(Pump Storage)</t>
        </r>
        <r>
          <rPr>
            <b/>
            <sz val="8"/>
            <color indexed="81"/>
            <rFont val="Tahoma"/>
            <family val="2"/>
          </rPr>
          <t xml:space="preserve">
STGIPS</t>
        </r>
        <r>
          <rPr>
            <sz val="8"/>
            <color indexed="81"/>
            <rFont val="Tahoma"/>
            <family val="2"/>
          </rPr>
          <t xml:space="preserve"> (Pump Storage IP)</t>
        </r>
        <r>
          <rPr>
            <b/>
            <sz val="8"/>
            <color indexed="81"/>
            <rFont val="Tahoma"/>
            <family val="2"/>
          </rPr>
          <t xml:space="preserve">
PRE </t>
        </r>
        <r>
          <rPr>
            <sz val="8"/>
            <color indexed="81"/>
            <rFont val="Tahoma"/>
            <family val="2"/>
          </rPr>
          <t>(Genric Process/Technology)</t>
        </r>
        <r>
          <rPr>
            <b/>
            <sz val="8"/>
            <color indexed="81"/>
            <rFont val="Tahoma"/>
            <family val="2"/>
          </rPr>
          <t xml:space="preserve">
DMD</t>
        </r>
        <r>
          <rPr>
            <sz val="8"/>
            <color indexed="81"/>
            <rFont val="Tahoma"/>
            <family val="2"/>
          </rPr>
          <t xml:space="preserve"> (Demand Device)</t>
        </r>
        <r>
          <rPr>
            <b/>
            <sz val="8"/>
            <color indexed="81"/>
            <rFont val="Tahoma"/>
            <family val="2"/>
          </rPr>
          <t xml:space="preserve">
IMP </t>
        </r>
        <r>
          <rPr>
            <sz val="8"/>
            <color indexed="81"/>
            <rFont val="Tahoma"/>
            <family val="2"/>
          </rPr>
          <t xml:space="preserve">(Import)
</t>
        </r>
        <r>
          <rPr>
            <b/>
            <sz val="8"/>
            <color indexed="81"/>
            <rFont val="Tahoma"/>
            <family val="2"/>
          </rPr>
          <t>EXP</t>
        </r>
        <r>
          <rPr>
            <sz val="8"/>
            <color indexed="81"/>
            <rFont val="Tahoma"/>
            <family val="2"/>
          </rPr>
          <t xml:space="preserve"> (Export)</t>
        </r>
        <r>
          <rPr>
            <b/>
            <sz val="8"/>
            <color indexed="81"/>
            <rFont val="Tahoma"/>
            <family val="2"/>
          </rPr>
          <t xml:space="preserve">
MIN </t>
        </r>
        <r>
          <rPr>
            <sz val="8"/>
            <color indexed="81"/>
            <rFont val="Tahoma"/>
            <family val="2"/>
          </rPr>
          <t>(Mining Process)</t>
        </r>
        <r>
          <rPr>
            <b/>
            <sz val="8"/>
            <color indexed="81"/>
            <rFont val="Tahoma"/>
            <family val="2"/>
          </rPr>
          <t xml:space="preserve">
RNW </t>
        </r>
        <r>
          <rPr>
            <sz val="8"/>
            <color indexed="81"/>
            <rFont val="Tahoma"/>
            <family val="2"/>
          </rPr>
          <t>(Renewable Technology)</t>
        </r>
        <r>
          <rPr>
            <b/>
            <sz val="8"/>
            <color indexed="81"/>
            <rFont val="Tahoma"/>
            <family val="2"/>
          </rPr>
          <t xml:space="preserve">
HPL</t>
        </r>
        <r>
          <rPr>
            <sz val="8"/>
            <color indexed="81"/>
            <rFont val="Tahoma"/>
            <family val="2"/>
          </rPr>
          <t xml:space="preserve"> (Heating Plant)</t>
        </r>
      </text>
    </comment>
  </commentList>
</comments>
</file>

<file path=xl/comments5.xml><?xml version="1.0" encoding="utf-8"?>
<comments xmlns="http://schemas.openxmlformats.org/spreadsheetml/2006/main">
  <authors>
    <author>Gary Goldstein</author>
    <author>Amit Kanudia</author>
    <author>Maurizio Gargiulo</author>
  </authors>
  <commentList>
    <comment ref="H3" authorId="0" shapeId="0">
      <text>
        <r>
          <rPr>
            <sz val="8"/>
            <color indexed="81"/>
            <rFont val="Tahoma"/>
            <family val="2"/>
          </rPr>
          <t xml:space="preserve">Csets declarations are inherited until the next one is encountered.
Allowed Cset:
</t>
        </r>
        <r>
          <rPr>
            <b/>
            <sz val="8"/>
            <color indexed="81"/>
            <rFont val="Tahoma"/>
            <family val="2"/>
          </rPr>
          <t>NRG</t>
        </r>
        <r>
          <rPr>
            <sz val="8"/>
            <color indexed="81"/>
            <rFont val="Tahoma"/>
            <family val="2"/>
          </rPr>
          <t xml:space="preserve"> (Energy)
</t>
        </r>
        <r>
          <rPr>
            <b/>
            <sz val="8"/>
            <color indexed="81"/>
            <rFont val="Tahoma"/>
            <family val="2"/>
          </rPr>
          <t>ENV</t>
        </r>
        <r>
          <rPr>
            <sz val="8"/>
            <color indexed="81"/>
            <rFont val="Tahoma"/>
            <family val="2"/>
          </rPr>
          <t xml:space="preserve"> (Emission)
</t>
        </r>
        <r>
          <rPr>
            <b/>
            <sz val="8"/>
            <color indexed="81"/>
            <rFont val="Tahoma"/>
            <family val="2"/>
          </rPr>
          <t>DEM</t>
        </r>
        <r>
          <rPr>
            <sz val="8"/>
            <color indexed="81"/>
            <rFont val="Tahoma"/>
            <family val="2"/>
          </rPr>
          <t xml:space="preserve"> (Demand)
</t>
        </r>
        <r>
          <rPr>
            <b/>
            <sz val="8"/>
            <color indexed="81"/>
            <rFont val="Tahoma"/>
            <family val="2"/>
          </rPr>
          <t>MAT</t>
        </r>
        <r>
          <rPr>
            <sz val="8"/>
            <color indexed="81"/>
            <rFont val="Tahoma"/>
            <family val="2"/>
          </rPr>
          <t xml:space="preserve"> (Material)
</t>
        </r>
        <r>
          <rPr>
            <b/>
            <sz val="8"/>
            <color indexed="81"/>
            <rFont val="Tahoma"/>
            <family val="2"/>
          </rPr>
          <t>FIN</t>
        </r>
        <r>
          <rPr>
            <sz val="8"/>
            <color indexed="81"/>
            <rFont val="Tahoma"/>
            <family val="2"/>
          </rPr>
          <t xml:space="preserve"> (Financial)</t>
        </r>
      </text>
    </comment>
    <comment ref="M3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LO for PRODUCTION &gt;= CONSUMPTION (Default)
FX for PRODUCTION = CONSUMPTION
UP for PRODUCTION &lt;= CONSUMPTION</t>
        </r>
      </text>
    </comment>
    <comment ref="N3" authorId="2" shapeId="0">
      <text>
        <r>
          <rPr>
            <sz val="8"/>
            <color indexed="81"/>
            <rFont val="Tahoma"/>
            <family val="2"/>
          </rPr>
          <t>Allowed CTSLvl</t>
        </r>
        <r>
          <rPr>
            <b/>
            <sz val="8"/>
            <color indexed="81"/>
            <rFont val="Tahoma"/>
            <family val="2"/>
          </rPr>
          <t xml:space="preserve">
SEASON</t>
        </r>
        <r>
          <rPr>
            <sz val="8"/>
            <color indexed="81"/>
            <rFont val="Tahoma"/>
            <family val="2"/>
          </rPr>
          <t xml:space="preserve"> (Seasonal level)</t>
        </r>
        <r>
          <rPr>
            <b/>
            <sz val="8"/>
            <color indexed="81"/>
            <rFont val="Tahoma"/>
            <family val="2"/>
          </rPr>
          <t xml:space="preserve">
WEEKLY</t>
        </r>
        <r>
          <rPr>
            <sz val="8"/>
            <color indexed="81"/>
            <rFont val="Tahoma"/>
            <family val="2"/>
          </rPr>
          <t xml:space="preserve"> (Weekly level)</t>
        </r>
        <r>
          <rPr>
            <b/>
            <sz val="8"/>
            <color indexed="81"/>
            <rFont val="Tahoma"/>
            <family val="2"/>
          </rPr>
          <t xml:space="preserve">
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O3" authorId="2" shapeId="0">
      <text>
        <r>
          <rPr>
            <sz val="8"/>
            <color indexed="81"/>
            <rFont val="Tahoma"/>
            <family val="2"/>
          </rPr>
          <t>Allowed PeakTS</t>
        </r>
        <r>
          <rPr>
            <b/>
            <sz val="8"/>
            <color indexed="81"/>
            <rFont val="Tahoma"/>
            <family val="2"/>
          </rPr>
          <t xml:space="preserve">
ANNUAL </t>
        </r>
        <r>
          <rPr>
            <sz val="8"/>
            <color indexed="81"/>
            <rFont val="Tahoma"/>
            <family val="2"/>
          </rPr>
          <t>(to generate Peak Equation for all the TimeSlices)</t>
        </r>
        <r>
          <rPr>
            <b/>
            <sz val="8"/>
            <color indexed="81"/>
            <rFont val="Tahoma"/>
            <family val="2"/>
          </rPr>
          <t xml:space="preserve">
User TS </t>
        </r>
        <r>
          <rPr>
            <sz val="8"/>
            <color indexed="81"/>
            <rFont val="Tahoma"/>
            <family val="2"/>
          </rPr>
          <t>(to generate Peak Equation for a single TS)</t>
        </r>
      </text>
    </comment>
    <comment ref="P3" authorId="2" shapeId="0">
      <text>
        <r>
          <rPr>
            <sz val="8"/>
            <color indexed="81"/>
            <rFont val="Tahoma"/>
            <family val="2"/>
          </rPr>
          <t xml:space="preserve">Allowed Ctype
</t>
        </r>
        <r>
          <rPr>
            <b/>
            <sz val="8"/>
            <color indexed="81"/>
            <rFont val="Tahoma"/>
            <family val="2"/>
          </rPr>
          <t>ELC</t>
        </r>
        <r>
          <rPr>
            <sz val="8"/>
            <color indexed="81"/>
            <rFont val="Tahoma"/>
            <family val="2"/>
          </rPr>
          <t xml:space="preserve"> (Electricity)</t>
        </r>
      </text>
    </comment>
    <comment ref="F8" authorId="2" shapeId="0">
      <text>
        <r>
          <rPr>
            <sz val="8"/>
            <color indexed="81"/>
            <rFont val="Tahoma"/>
            <family val="2"/>
          </rPr>
          <t xml:space="preserve">This attribute is used to assign a production limit.
By defautt is defined like fixed share
</t>
        </r>
        <r>
          <rPr>
            <b/>
            <sz val="8"/>
            <color indexed="81"/>
            <rFont val="Tahoma"/>
            <family val="2"/>
          </rPr>
          <t>UP</t>
        </r>
        <r>
          <rPr>
            <sz val="8"/>
            <color indexed="81"/>
            <rFont val="Tahoma"/>
            <family val="2"/>
          </rPr>
          <t xml:space="preserve">
If you want fix or lower add
</t>
        </r>
        <r>
          <rPr>
            <b/>
            <sz val="8"/>
            <color indexed="81"/>
            <rFont val="Tahoma"/>
            <family val="2"/>
          </rPr>
          <t>~FX
~LO</t>
        </r>
      </text>
    </comment>
    <comment ref="N8" authorId="2" shapeId="0">
      <text>
        <r>
          <rPr>
            <sz val="8"/>
            <color indexed="81"/>
            <rFont val="Tahoma"/>
            <family val="2"/>
          </rPr>
          <t xml:space="preserve">Allowed TsLvl
</t>
        </r>
        <r>
          <rPr>
            <b/>
            <sz val="8"/>
            <color indexed="81"/>
            <rFont val="Tahoma"/>
            <family val="2"/>
          </rPr>
          <t>ANNUAL</t>
        </r>
        <r>
          <rPr>
            <sz val="8"/>
            <color indexed="81"/>
            <rFont val="Tahoma"/>
            <family val="2"/>
          </rPr>
          <t xml:space="preserve"> (Annual level)
</t>
        </r>
        <r>
          <rPr>
            <b/>
            <sz val="8"/>
            <color indexed="81"/>
            <rFont val="Tahoma"/>
            <family val="2"/>
          </rPr>
          <t>SEASON</t>
        </r>
        <r>
          <rPr>
            <sz val="8"/>
            <color indexed="81"/>
            <rFont val="Tahoma"/>
            <family val="2"/>
          </rPr>
          <t xml:space="preserve"> (Seasonal level)
</t>
        </r>
        <r>
          <rPr>
            <b/>
            <sz val="8"/>
            <color indexed="81"/>
            <rFont val="Tahoma"/>
            <family val="2"/>
          </rPr>
          <t>WEEKLY</t>
        </r>
        <r>
          <rPr>
            <sz val="8"/>
            <color indexed="81"/>
            <rFont val="Tahoma"/>
            <family val="2"/>
          </rPr>
          <t xml:space="preserve"> (Weekly level)
</t>
        </r>
        <r>
          <rPr>
            <b/>
            <sz val="8"/>
            <color indexed="81"/>
            <rFont val="Tahoma"/>
            <family val="2"/>
          </rPr>
          <t>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O8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Needed only when one wants to override the VEDA default assignment
</t>
        </r>
      </text>
    </comment>
    <comment ref="P8" authorId="2" shapeId="0">
      <text>
        <r>
          <rPr>
            <sz val="8"/>
            <color indexed="81"/>
            <rFont val="Tahoma"/>
            <family val="2"/>
          </rPr>
          <t>Allowed Vintage</t>
        </r>
        <r>
          <rPr>
            <b/>
            <sz val="8"/>
            <color indexed="81"/>
            <rFont val="Tahoma"/>
            <family val="2"/>
          </rPr>
          <t xml:space="preserve">
NO</t>
        </r>
        <r>
          <rPr>
            <sz val="8"/>
            <color indexed="81"/>
            <rFont val="Tahoma"/>
            <family val="2"/>
          </rPr>
          <t xml:space="preserve"> (if empty by default mean </t>
        </r>
        <r>
          <rPr>
            <b/>
            <sz val="8"/>
            <color indexed="81"/>
            <rFont val="Tahoma"/>
            <family val="2"/>
          </rPr>
          <t>NO</t>
        </r>
        <r>
          <rPr>
            <sz val="8"/>
            <color indexed="81"/>
            <rFont val="Tahoma"/>
            <family val="2"/>
          </rPr>
          <t>)</t>
        </r>
        <r>
          <rPr>
            <b/>
            <sz val="8"/>
            <color indexed="81"/>
            <rFont val="Tahoma"/>
            <family val="2"/>
          </rPr>
          <t xml:space="preserve">
YES</t>
        </r>
      </text>
    </comment>
    <comment ref="H9" authorId="2" shapeId="0">
      <text>
        <r>
          <rPr>
            <sz val="8"/>
            <color indexed="81"/>
            <rFont val="Tahoma"/>
            <family val="2"/>
          </rPr>
          <t xml:space="preserve">Sets declarations are </t>
        </r>
        <r>
          <rPr>
            <sz val="8"/>
            <color indexed="81"/>
            <rFont val="Tahoma"/>
            <family val="2"/>
          </rPr>
          <t>inherited. 
Allowed Process Sets</t>
        </r>
        <r>
          <rPr>
            <b/>
            <sz val="8"/>
            <color indexed="81"/>
            <rFont val="Tahoma"/>
            <family val="2"/>
          </rPr>
          <t xml:space="preserve">
ELE </t>
        </r>
        <r>
          <rPr>
            <sz val="8"/>
            <color indexed="81"/>
            <rFont val="Tahoma"/>
            <family val="2"/>
          </rPr>
          <t>(Thermal Electric Power Plant)</t>
        </r>
        <r>
          <rPr>
            <b/>
            <sz val="8"/>
            <color indexed="81"/>
            <rFont val="Tahoma"/>
            <family val="2"/>
          </rPr>
          <t xml:space="preserve">
CHP </t>
        </r>
        <r>
          <rPr>
            <sz val="8"/>
            <color indexed="81"/>
            <rFont val="Tahoma"/>
            <family val="2"/>
          </rPr>
          <t>(Combined Heat and Power)</t>
        </r>
        <r>
          <rPr>
            <b/>
            <sz val="8"/>
            <color indexed="81"/>
            <rFont val="Tahoma"/>
            <family val="2"/>
          </rPr>
          <t xml:space="preserve">
STGTSS </t>
        </r>
        <r>
          <rPr>
            <sz val="8"/>
            <color indexed="81"/>
            <rFont val="Tahoma"/>
            <family val="2"/>
          </rPr>
          <t>(Pump Storage)</t>
        </r>
        <r>
          <rPr>
            <b/>
            <sz val="8"/>
            <color indexed="81"/>
            <rFont val="Tahoma"/>
            <family val="2"/>
          </rPr>
          <t xml:space="preserve">
STGIPS</t>
        </r>
        <r>
          <rPr>
            <sz val="8"/>
            <color indexed="81"/>
            <rFont val="Tahoma"/>
            <family val="2"/>
          </rPr>
          <t xml:space="preserve"> (Pump Storage IP)</t>
        </r>
        <r>
          <rPr>
            <b/>
            <sz val="8"/>
            <color indexed="81"/>
            <rFont val="Tahoma"/>
            <family val="2"/>
          </rPr>
          <t xml:space="preserve">
PRE </t>
        </r>
        <r>
          <rPr>
            <sz val="8"/>
            <color indexed="81"/>
            <rFont val="Tahoma"/>
            <family val="2"/>
          </rPr>
          <t>(Genric Process/Technology)</t>
        </r>
        <r>
          <rPr>
            <b/>
            <sz val="8"/>
            <color indexed="81"/>
            <rFont val="Tahoma"/>
            <family val="2"/>
          </rPr>
          <t xml:space="preserve">
DMD</t>
        </r>
        <r>
          <rPr>
            <sz val="8"/>
            <color indexed="81"/>
            <rFont val="Tahoma"/>
            <family val="2"/>
          </rPr>
          <t xml:space="preserve"> (Demand Device)</t>
        </r>
        <r>
          <rPr>
            <b/>
            <sz val="8"/>
            <color indexed="81"/>
            <rFont val="Tahoma"/>
            <family val="2"/>
          </rPr>
          <t xml:space="preserve">
IMP </t>
        </r>
        <r>
          <rPr>
            <sz val="8"/>
            <color indexed="81"/>
            <rFont val="Tahoma"/>
            <family val="2"/>
          </rPr>
          <t xml:space="preserve">(Import)
</t>
        </r>
        <r>
          <rPr>
            <b/>
            <sz val="8"/>
            <color indexed="81"/>
            <rFont val="Tahoma"/>
            <family val="2"/>
          </rPr>
          <t>EXP</t>
        </r>
        <r>
          <rPr>
            <sz val="8"/>
            <color indexed="81"/>
            <rFont val="Tahoma"/>
            <family val="2"/>
          </rPr>
          <t xml:space="preserve"> (Export)</t>
        </r>
        <r>
          <rPr>
            <b/>
            <sz val="8"/>
            <color indexed="81"/>
            <rFont val="Tahoma"/>
            <family val="2"/>
          </rPr>
          <t xml:space="preserve">
MIN </t>
        </r>
        <r>
          <rPr>
            <sz val="8"/>
            <color indexed="81"/>
            <rFont val="Tahoma"/>
            <family val="2"/>
          </rPr>
          <t>(Mining Process)</t>
        </r>
        <r>
          <rPr>
            <b/>
            <sz val="8"/>
            <color indexed="81"/>
            <rFont val="Tahoma"/>
            <family val="2"/>
          </rPr>
          <t xml:space="preserve">
RNW </t>
        </r>
        <r>
          <rPr>
            <sz val="8"/>
            <color indexed="81"/>
            <rFont val="Tahoma"/>
            <family val="2"/>
          </rPr>
          <t>(Renewable Technology)</t>
        </r>
        <r>
          <rPr>
            <b/>
            <sz val="8"/>
            <color indexed="81"/>
            <rFont val="Tahoma"/>
            <family val="2"/>
          </rPr>
          <t xml:space="preserve">
HPL</t>
        </r>
        <r>
          <rPr>
            <sz val="8"/>
            <color indexed="81"/>
            <rFont val="Tahoma"/>
            <family val="2"/>
          </rPr>
          <t xml:space="preserve"> (Heating Plant)</t>
        </r>
      </text>
    </comment>
  </commentList>
</comments>
</file>

<file path=xl/comments6.xml><?xml version="1.0" encoding="utf-8"?>
<comments xmlns="http://schemas.openxmlformats.org/spreadsheetml/2006/main">
  <authors>
    <author>Gary Goldstein</author>
    <author>Amit Kanudia</author>
    <author>Maurizio Gargiulo</author>
  </authors>
  <commentList>
    <comment ref="H3" authorId="0" shapeId="0">
      <text>
        <r>
          <rPr>
            <sz val="8"/>
            <color indexed="81"/>
            <rFont val="Tahoma"/>
            <family val="2"/>
          </rPr>
          <t xml:space="preserve">Csets declarations are inherited until the next one is encountered.
Allowed Cset:
</t>
        </r>
        <r>
          <rPr>
            <b/>
            <sz val="8"/>
            <color indexed="81"/>
            <rFont val="Tahoma"/>
            <family val="2"/>
          </rPr>
          <t>NRG</t>
        </r>
        <r>
          <rPr>
            <sz val="8"/>
            <color indexed="81"/>
            <rFont val="Tahoma"/>
            <family val="2"/>
          </rPr>
          <t xml:space="preserve"> (Energy)
</t>
        </r>
        <r>
          <rPr>
            <b/>
            <sz val="8"/>
            <color indexed="81"/>
            <rFont val="Tahoma"/>
            <family val="2"/>
          </rPr>
          <t>ENV</t>
        </r>
        <r>
          <rPr>
            <sz val="8"/>
            <color indexed="81"/>
            <rFont val="Tahoma"/>
            <family val="2"/>
          </rPr>
          <t xml:space="preserve"> (Emission)
</t>
        </r>
        <r>
          <rPr>
            <b/>
            <sz val="8"/>
            <color indexed="81"/>
            <rFont val="Tahoma"/>
            <family val="2"/>
          </rPr>
          <t>DEM</t>
        </r>
        <r>
          <rPr>
            <sz val="8"/>
            <color indexed="81"/>
            <rFont val="Tahoma"/>
            <family val="2"/>
          </rPr>
          <t xml:space="preserve"> (Demand)
</t>
        </r>
        <r>
          <rPr>
            <b/>
            <sz val="8"/>
            <color indexed="81"/>
            <rFont val="Tahoma"/>
            <family val="2"/>
          </rPr>
          <t>MAT</t>
        </r>
        <r>
          <rPr>
            <sz val="8"/>
            <color indexed="81"/>
            <rFont val="Tahoma"/>
            <family val="2"/>
          </rPr>
          <t xml:space="preserve"> (Material)
</t>
        </r>
        <r>
          <rPr>
            <b/>
            <sz val="8"/>
            <color indexed="81"/>
            <rFont val="Tahoma"/>
            <family val="2"/>
          </rPr>
          <t>FIN</t>
        </r>
        <r>
          <rPr>
            <sz val="8"/>
            <color indexed="81"/>
            <rFont val="Tahoma"/>
            <family val="2"/>
          </rPr>
          <t xml:space="preserve"> (Financial)</t>
        </r>
      </text>
    </comment>
    <comment ref="M3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LO for PRODUCTION &gt;= CONSUMPTION (Default)
FX for PRODUCTION = CONSUMPTION
UP for PRODUCTION &lt;= CONSUMPTION</t>
        </r>
      </text>
    </comment>
    <comment ref="N3" authorId="2" shapeId="0">
      <text>
        <r>
          <rPr>
            <sz val="8"/>
            <color indexed="81"/>
            <rFont val="Tahoma"/>
            <family val="2"/>
          </rPr>
          <t>Allowed CTSLvl</t>
        </r>
        <r>
          <rPr>
            <b/>
            <sz val="8"/>
            <color indexed="81"/>
            <rFont val="Tahoma"/>
            <family val="2"/>
          </rPr>
          <t xml:space="preserve">
SEASON</t>
        </r>
        <r>
          <rPr>
            <sz val="8"/>
            <color indexed="81"/>
            <rFont val="Tahoma"/>
            <family val="2"/>
          </rPr>
          <t xml:space="preserve"> (Seasonal level)</t>
        </r>
        <r>
          <rPr>
            <b/>
            <sz val="8"/>
            <color indexed="81"/>
            <rFont val="Tahoma"/>
            <family val="2"/>
          </rPr>
          <t xml:space="preserve">
WEEKLY</t>
        </r>
        <r>
          <rPr>
            <sz val="8"/>
            <color indexed="81"/>
            <rFont val="Tahoma"/>
            <family val="2"/>
          </rPr>
          <t xml:space="preserve"> (Weekly level)</t>
        </r>
        <r>
          <rPr>
            <b/>
            <sz val="8"/>
            <color indexed="81"/>
            <rFont val="Tahoma"/>
            <family val="2"/>
          </rPr>
          <t xml:space="preserve">
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O3" authorId="2" shapeId="0">
      <text>
        <r>
          <rPr>
            <sz val="8"/>
            <color indexed="81"/>
            <rFont val="Tahoma"/>
            <family val="2"/>
          </rPr>
          <t>Allowed PeakTS</t>
        </r>
        <r>
          <rPr>
            <b/>
            <sz val="8"/>
            <color indexed="81"/>
            <rFont val="Tahoma"/>
            <family val="2"/>
          </rPr>
          <t xml:space="preserve">
ANNUAL </t>
        </r>
        <r>
          <rPr>
            <sz val="8"/>
            <color indexed="81"/>
            <rFont val="Tahoma"/>
            <family val="2"/>
          </rPr>
          <t>(to generate Peak Equation for all the TimeSlices)</t>
        </r>
        <r>
          <rPr>
            <b/>
            <sz val="8"/>
            <color indexed="81"/>
            <rFont val="Tahoma"/>
            <family val="2"/>
          </rPr>
          <t xml:space="preserve">
User TS </t>
        </r>
        <r>
          <rPr>
            <sz val="8"/>
            <color indexed="81"/>
            <rFont val="Tahoma"/>
            <family val="2"/>
          </rPr>
          <t>(to generate Peak Equation for a single TS)</t>
        </r>
      </text>
    </comment>
    <comment ref="P3" authorId="2" shapeId="0">
      <text>
        <r>
          <rPr>
            <sz val="8"/>
            <color indexed="81"/>
            <rFont val="Tahoma"/>
            <family val="2"/>
          </rPr>
          <t xml:space="preserve">Allowed Ctype
</t>
        </r>
        <r>
          <rPr>
            <b/>
            <sz val="8"/>
            <color indexed="81"/>
            <rFont val="Tahoma"/>
            <family val="2"/>
          </rPr>
          <t>ELC</t>
        </r>
        <r>
          <rPr>
            <sz val="8"/>
            <color indexed="81"/>
            <rFont val="Tahoma"/>
            <family val="2"/>
          </rPr>
          <t xml:space="preserve"> (Electricity)</t>
        </r>
      </text>
    </comment>
    <comment ref="F14" authorId="2" shapeId="0">
      <text>
        <r>
          <rPr>
            <sz val="8"/>
            <color indexed="81"/>
            <rFont val="Tahoma"/>
            <family val="2"/>
          </rPr>
          <t xml:space="preserve">This attribute is used to assign a production limit.
By defautt is defined like fixed share
</t>
        </r>
        <r>
          <rPr>
            <b/>
            <sz val="8"/>
            <color indexed="81"/>
            <rFont val="Tahoma"/>
            <family val="2"/>
          </rPr>
          <t>UP</t>
        </r>
        <r>
          <rPr>
            <sz val="8"/>
            <color indexed="81"/>
            <rFont val="Tahoma"/>
            <family val="2"/>
          </rPr>
          <t xml:space="preserve">
If you want fix or lower add
</t>
        </r>
        <r>
          <rPr>
            <b/>
            <sz val="8"/>
            <color indexed="81"/>
            <rFont val="Tahoma"/>
            <family val="2"/>
          </rPr>
          <t>~FX
~LO</t>
        </r>
      </text>
    </comment>
    <comment ref="N14" authorId="2" shapeId="0">
      <text>
        <r>
          <rPr>
            <sz val="8"/>
            <color indexed="81"/>
            <rFont val="Tahoma"/>
            <family val="2"/>
          </rPr>
          <t xml:space="preserve">Allowed TsLvl
</t>
        </r>
        <r>
          <rPr>
            <b/>
            <sz val="8"/>
            <color indexed="81"/>
            <rFont val="Tahoma"/>
            <family val="2"/>
          </rPr>
          <t>ANNUAL</t>
        </r>
        <r>
          <rPr>
            <sz val="8"/>
            <color indexed="81"/>
            <rFont val="Tahoma"/>
            <family val="2"/>
          </rPr>
          <t xml:space="preserve"> (Annual level)
</t>
        </r>
        <r>
          <rPr>
            <b/>
            <sz val="8"/>
            <color indexed="81"/>
            <rFont val="Tahoma"/>
            <family val="2"/>
          </rPr>
          <t>SEASON</t>
        </r>
        <r>
          <rPr>
            <sz val="8"/>
            <color indexed="81"/>
            <rFont val="Tahoma"/>
            <family val="2"/>
          </rPr>
          <t xml:space="preserve"> (Seasonal level)
</t>
        </r>
        <r>
          <rPr>
            <b/>
            <sz val="8"/>
            <color indexed="81"/>
            <rFont val="Tahoma"/>
            <family val="2"/>
          </rPr>
          <t>WEEKLY</t>
        </r>
        <r>
          <rPr>
            <sz val="8"/>
            <color indexed="81"/>
            <rFont val="Tahoma"/>
            <family val="2"/>
          </rPr>
          <t xml:space="preserve"> (Weekly level)
</t>
        </r>
        <r>
          <rPr>
            <b/>
            <sz val="8"/>
            <color indexed="81"/>
            <rFont val="Tahoma"/>
            <family val="2"/>
          </rPr>
          <t>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O14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Needed only when one wants to override the VEDA default assignment
</t>
        </r>
      </text>
    </comment>
    <comment ref="P14" authorId="2" shapeId="0">
      <text>
        <r>
          <rPr>
            <sz val="8"/>
            <color indexed="81"/>
            <rFont val="Tahoma"/>
            <family val="2"/>
          </rPr>
          <t>Allowed Vintage</t>
        </r>
        <r>
          <rPr>
            <b/>
            <sz val="8"/>
            <color indexed="81"/>
            <rFont val="Tahoma"/>
            <family val="2"/>
          </rPr>
          <t xml:space="preserve">
NO</t>
        </r>
        <r>
          <rPr>
            <sz val="8"/>
            <color indexed="81"/>
            <rFont val="Tahoma"/>
            <family val="2"/>
          </rPr>
          <t xml:space="preserve"> (if empty by default mean </t>
        </r>
        <r>
          <rPr>
            <b/>
            <sz val="8"/>
            <color indexed="81"/>
            <rFont val="Tahoma"/>
            <family val="2"/>
          </rPr>
          <t>NO</t>
        </r>
        <r>
          <rPr>
            <sz val="8"/>
            <color indexed="81"/>
            <rFont val="Tahoma"/>
            <family val="2"/>
          </rPr>
          <t>)</t>
        </r>
        <r>
          <rPr>
            <b/>
            <sz val="8"/>
            <color indexed="81"/>
            <rFont val="Tahoma"/>
            <family val="2"/>
          </rPr>
          <t xml:space="preserve">
YES</t>
        </r>
      </text>
    </comment>
    <comment ref="H15" authorId="2" shapeId="0">
      <text>
        <r>
          <rPr>
            <sz val="8"/>
            <color indexed="81"/>
            <rFont val="Tahoma"/>
            <family val="2"/>
          </rPr>
          <t xml:space="preserve">Sets declarations are </t>
        </r>
        <r>
          <rPr>
            <sz val="8"/>
            <color indexed="81"/>
            <rFont val="Tahoma"/>
            <family val="2"/>
          </rPr>
          <t>inherited. 
Allowed Process Sets</t>
        </r>
        <r>
          <rPr>
            <b/>
            <sz val="8"/>
            <color indexed="81"/>
            <rFont val="Tahoma"/>
            <family val="2"/>
          </rPr>
          <t xml:space="preserve">
ELE </t>
        </r>
        <r>
          <rPr>
            <sz val="8"/>
            <color indexed="81"/>
            <rFont val="Tahoma"/>
            <family val="2"/>
          </rPr>
          <t>(Thermal Electric Power Plant)</t>
        </r>
        <r>
          <rPr>
            <b/>
            <sz val="8"/>
            <color indexed="81"/>
            <rFont val="Tahoma"/>
            <family val="2"/>
          </rPr>
          <t xml:space="preserve">
CHP </t>
        </r>
        <r>
          <rPr>
            <sz val="8"/>
            <color indexed="81"/>
            <rFont val="Tahoma"/>
            <family val="2"/>
          </rPr>
          <t>(Combined Heat and Power)</t>
        </r>
        <r>
          <rPr>
            <b/>
            <sz val="8"/>
            <color indexed="81"/>
            <rFont val="Tahoma"/>
            <family val="2"/>
          </rPr>
          <t xml:space="preserve">
STGTSS </t>
        </r>
        <r>
          <rPr>
            <sz val="8"/>
            <color indexed="81"/>
            <rFont val="Tahoma"/>
            <family val="2"/>
          </rPr>
          <t>(Pump Storage)</t>
        </r>
        <r>
          <rPr>
            <b/>
            <sz val="8"/>
            <color indexed="81"/>
            <rFont val="Tahoma"/>
            <family val="2"/>
          </rPr>
          <t xml:space="preserve">
STGIPS</t>
        </r>
        <r>
          <rPr>
            <sz val="8"/>
            <color indexed="81"/>
            <rFont val="Tahoma"/>
            <family val="2"/>
          </rPr>
          <t xml:space="preserve"> (Pump Storage IP)</t>
        </r>
        <r>
          <rPr>
            <b/>
            <sz val="8"/>
            <color indexed="81"/>
            <rFont val="Tahoma"/>
            <family val="2"/>
          </rPr>
          <t xml:space="preserve">
PRE </t>
        </r>
        <r>
          <rPr>
            <sz val="8"/>
            <color indexed="81"/>
            <rFont val="Tahoma"/>
            <family val="2"/>
          </rPr>
          <t>(Genric Process/Technology)</t>
        </r>
        <r>
          <rPr>
            <b/>
            <sz val="8"/>
            <color indexed="81"/>
            <rFont val="Tahoma"/>
            <family val="2"/>
          </rPr>
          <t xml:space="preserve">
DMD</t>
        </r>
        <r>
          <rPr>
            <sz val="8"/>
            <color indexed="81"/>
            <rFont val="Tahoma"/>
            <family val="2"/>
          </rPr>
          <t xml:space="preserve"> (Demand Device)</t>
        </r>
        <r>
          <rPr>
            <b/>
            <sz val="8"/>
            <color indexed="81"/>
            <rFont val="Tahoma"/>
            <family val="2"/>
          </rPr>
          <t xml:space="preserve">
IMP </t>
        </r>
        <r>
          <rPr>
            <sz val="8"/>
            <color indexed="81"/>
            <rFont val="Tahoma"/>
            <family val="2"/>
          </rPr>
          <t xml:space="preserve">(Import)
</t>
        </r>
        <r>
          <rPr>
            <b/>
            <sz val="8"/>
            <color indexed="81"/>
            <rFont val="Tahoma"/>
            <family val="2"/>
          </rPr>
          <t>EXP</t>
        </r>
        <r>
          <rPr>
            <sz val="8"/>
            <color indexed="81"/>
            <rFont val="Tahoma"/>
            <family val="2"/>
          </rPr>
          <t xml:space="preserve"> (Export)</t>
        </r>
        <r>
          <rPr>
            <b/>
            <sz val="8"/>
            <color indexed="81"/>
            <rFont val="Tahoma"/>
            <family val="2"/>
          </rPr>
          <t xml:space="preserve">
MIN </t>
        </r>
        <r>
          <rPr>
            <sz val="8"/>
            <color indexed="81"/>
            <rFont val="Tahoma"/>
            <family val="2"/>
          </rPr>
          <t>(Mining Process)</t>
        </r>
        <r>
          <rPr>
            <b/>
            <sz val="8"/>
            <color indexed="81"/>
            <rFont val="Tahoma"/>
            <family val="2"/>
          </rPr>
          <t xml:space="preserve">
RNW </t>
        </r>
        <r>
          <rPr>
            <sz val="8"/>
            <color indexed="81"/>
            <rFont val="Tahoma"/>
            <family val="2"/>
          </rPr>
          <t>(Renewable Technology)</t>
        </r>
        <r>
          <rPr>
            <b/>
            <sz val="8"/>
            <color indexed="81"/>
            <rFont val="Tahoma"/>
            <family val="2"/>
          </rPr>
          <t xml:space="preserve">
HPL</t>
        </r>
        <r>
          <rPr>
            <sz val="8"/>
            <color indexed="81"/>
            <rFont val="Tahoma"/>
            <family val="2"/>
          </rPr>
          <t xml:space="preserve"> (Heating Plant)</t>
        </r>
      </text>
    </comment>
  </commentList>
</comments>
</file>

<file path=xl/comments7.xml><?xml version="1.0" encoding="utf-8"?>
<comments xmlns="http://schemas.openxmlformats.org/spreadsheetml/2006/main">
  <authors>
    <author>Gary Goldstein</author>
    <author>Amit Kanudia</author>
    <author>Maurizio Gargiulo</author>
  </authors>
  <commentList>
    <comment ref="H3" authorId="0" shapeId="0">
      <text>
        <r>
          <rPr>
            <sz val="8"/>
            <color indexed="81"/>
            <rFont val="Tahoma"/>
            <family val="2"/>
          </rPr>
          <t xml:space="preserve">Csets declarations are inherited until the next one is encountered.
Allowed Cset:
</t>
        </r>
        <r>
          <rPr>
            <b/>
            <sz val="8"/>
            <color indexed="81"/>
            <rFont val="Tahoma"/>
            <family val="2"/>
          </rPr>
          <t>NRG</t>
        </r>
        <r>
          <rPr>
            <sz val="8"/>
            <color indexed="81"/>
            <rFont val="Tahoma"/>
            <family val="2"/>
          </rPr>
          <t xml:space="preserve"> (Energy)
</t>
        </r>
        <r>
          <rPr>
            <b/>
            <sz val="8"/>
            <color indexed="81"/>
            <rFont val="Tahoma"/>
            <family val="2"/>
          </rPr>
          <t>ENV</t>
        </r>
        <r>
          <rPr>
            <sz val="8"/>
            <color indexed="81"/>
            <rFont val="Tahoma"/>
            <family val="2"/>
          </rPr>
          <t xml:space="preserve"> (Emission)
</t>
        </r>
        <r>
          <rPr>
            <b/>
            <sz val="8"/>
            <color indexed="81"/>
            <rFont val="Tahoma"/>
            <family val="2"/>
          </rPr>
          <t>DEM</t>
        </r>
        <r>
          <rPr>
            <sz val="8"/>
            <color indexed="81"/>
            <rFont val="Tahoma"/>
            <family val="2"/>
          </rPr>
          <t xml:space="preserve"> (Demand)
</t>
        </r>
        <r>
          <rPr>
            <b/>
            <sz val="8"/>
            <color indexed="81"/>
            <rFont val="Tahoma"/>
            <family val="2"/>
          </rPr>
          <t>MAT</t>
        </r>
        <r>
          <rPr>
            <sz val="8"/>
            <color indexed="81"/>
            <rFont val="Tahoma"/>
            <family val="2"/>
          </rPr>
          <t xml:space="preserve"> (Material)
</t>
        </r>
        <r>
          <rPr>
            <b/>
            <sz val="8"/>
            <color indexed="81"/>
            <rFont val="Tahoma"/>
            <family val="2"/>
          </rPr>
          <t>FIN</t>
        </r>
        <r>
          <rPr>
            <sz val="8"/>
            <color indexed="81"/>
            <rFont val="Tahoma"/>
            <family val="2"/>
          </rPr>
          <t xml:space="preserve"> (Financial)</t>
        </r>
      </text>
    </comment>
    <comment ref="M3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LO for PRODUCTION &gt;= CONSUMPTION (Default)
FX for PRODUCTION = CONSUMPTION
UP for PRODUCTION &lt;= CONSUMPTION</t>
        </r>
      </text>
    </comment>
    <comment ref="N3" authorId="2" shapeId="0">
      <text>
        <r>
          <rPr>
            <sz val="8"/>
            <color indexed="81"/>
            <rFont val="Tahoma"/>
            <family val="2"/>
          </rPr>
          <t>Allowed CTSLvl</t>
        </r>
        <r>
          <rPr>
            <b/>
            <sz val="8"/>
            <color indexed="81"/>
            <rFont val="Tahoma"/>
            <family val="2"/>
          </rPr>
          <t xml:space="preserve">
SEASON</t>
        </r>
        <r>
          <rPr>
            <sz val="8"/>
            <color indexed="81"/>
            <rFont val="Tahoma"/>
            <family val="2"/>
          </rPr>
          <t xml:space="preserve"> (Seasonal level)</t>
        </r>
        <r>
          <rPr>
            <b/>
            <sz val="8"/>
            <color indexed="81"/>
            <rFont val="Tahoma"/>
            <family val="2"/>
          </rPr>
          <t xml:space="preserve">
WEEKLY</t>
        </r>
        <r>
          <rPr>
            <sz val="8"/>
            <color indexed="81"/>
            <rFont val="Tahoma"/>
            <family val="2"/>
          </rPr>
          <t xml:space="preserve"> (Weekly level)</t>
        </r>
        <r>
          <rPr>
            <b/>
            <sz val="8"/>
            <color indexed="81"/>
            <rFont val="Tahoma"/>
            <family val="2"/>
          </rPr>
          <t xml:space="preserve">
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O3" authorId="2" shapeId="0">
      <text>
        <r>
          <rPr>
            <sz val="8"/>
            <color indexed="81"/>
            <rFont val="Tahoma"/>
            <family val="2"/>
          </rPr>
          <t>Allowed PeakTS</t>
        </r>
        <r>
          <rPr>
            <b/>
            <sz val="8"/>
            <color indexed="81"/>
            <rFont val="Tahoma"/>
            <family val="2"/>
          </rPr>
          <t xml:space="preserve">
ANNUAL </t>
        </r>
        <r>
          <rPr>
            <sz val="8"/>
            <color indexed="81"/>
            <rFont val="Tahoma"/>
            <family val="2"/>
          </rPr>
          <t>(to generate Peak Equation for all the TimeSlices)</t>
        </r>
        <r>
          <rPr>
            <b/>
            <sz val="8"/>
            <color indexed="81"/>
            <rFont val="Tahoma"/>
            <family val="2"/>
          </rPr>
          <t xml:space="preserve">
User TS </t>
        </r>
        <r>
          <rPr>
            <sz val="8"/>
            <color indexed="81"/>
            <rFont val="Tahoma"/>
            <family val="2"/>
          </rPr>
          <t>(to generate Peak Equation for a single TS)</t>
        </r>
      </text>
    </comment>
    <comment ref="P3" authorId="2" shapeId="0">
      <text>
        <r>
          <rPr>
            <sz val="8"/>
            <color indexed="81"/>
            <rFont val="Tahoma"/>
            <family val="2"/>
          </rPr>
          <t xml:space="preserve">Allowed Ctype
</t>
        </r>
        <r>
          <rPr>
            <b/>
            <sz val="8"/>
            <color indexed="81"/>
            <rFont val="Tahoma"/>
            <family val="2"/>
          </rPr>
          <t>ELC</t>
        </r>
        <r>
          <rPr>
            <sz val="8"/>
            <color indexed="81"/>
            <rFont val="Tahoma"/>
            <family val="2"/>
          </rPr>
          <t xml:space="preserve"> (Electricity)</t>
        </r>
      </text>
    </comment>
    <comment ref="F12" authorId="2" shapeId="0">
      <text>
        <r>
          <rPr>
            <sz val="8"/>
            <color indexed="81"/>
            <rFont val="Tahoma"/>
            <family val="2"/>
          </rPr>
          <t xml:space="preserve">This attribute is used to assign a production limit.
By defautt is defined like fixed share
</t>
        </r>
        <r>
          <rPr>
            <b/>
            <sz val="8"/>
            <color indexed="81"/>
            <rFont val="Tahoma"/>
            <family val="2"/>
          </rPr>
          <t>UP</t>
        </r>
        <r>
          <rPr>
            <sz val="8"/>
            <color indexed="81"/>
            <rFont val="Tahoma"/>
            <family val="2"/>
          </rPr>
          <t xml:space="preserve">
If you want fix or lower add
</t>
        </r>
        <r>
          <rPr>
            <b/>
            <sz val="8"/>
            <color indexed="81"/>
            <rFont val="Tahoma"/>
            <family val="2"/>
          </rPr>
          <t>~FX
~LO</t>
        </r>
      </text>
    </comment>
    <comment ref="N12" authorId="2" shapeId="0">
      <text>
        <r>
          <rPr>
            <sz val="8"/>
            <color indexed="81"/>
            <rFont val="Tahoma"/>
            <family val="2"/>
          </rPr>
          <t xml:space="preserve">Allowed TsLvl
</t>
        </r>
        <r>
          <rPr>
            <b/>
            <sz val="8"/>
            <color indexed="81"/>
            <rFont val="Tahoma"/>
            <family val="2"/>
          </rPr>
          <t>ANNUAL</t>
        </r>
        <r>
          <rPr>
            <sz val="8"/>
            <color indexed="81"/>
            <rFont val="Tahoma"/>
            <family val="2"/>
          </rPr>
          <t xml:space="preserve"> (Annual level)
</t>
        </r>
        <r>
          <rPr>
            <b/>
            <sz val="8"/>
            <color indexed="81"/>
            <rFont val="Tahoma"/>
            <family val="2"/>
          </rPr>
          <t>SEASON</t>
        </r>
        <r>
          <rPr>
            <sz val="8"/>
            <color indexed="81"/>
            <rFont val="Tahoma"/>
            <family val="2"/>
          </rPr>
          <t xml:space="preserve"> (Seasonal level)
</t>
        </r>
        <r>
          <rPr>
            <b/>
            <sz val="8"/>
            <color indexed="81"/>
            <rFont val="Tahoma"/>
            <family val="2"/>
          </rPr>
          <t>WEEKLY</t>
        </r>
        <r>
          <rPr>
            <sz val="8"/>
            <color indexed="81"/>
            <rFont val="Tahoma"/>
            <family val="2"/>
          </rPr>
          <t xml:space="preserve"> (Weekly level)
</t>
        </r>
        <r>
          <rPr>
            <b/>
            <sz val="8"/>
            <color indexed="81"/>
            <rFont val="Tahoma"/>
            <family val="2"/>
          </rPr>
          <t>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O12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Needed only when one wants to override the VEDA default assignment
</t>
        </r>
      </text>
    </comment>
    <comment ref="P12" authorId="2" shapeId="0">
      <text>
        <r>
          <rPr>
            <sz val="8"/>
            <color indexed="81"/>
            <rFont val="Tahoma"/>
            <family val="2"/>
          </rPr>
          <t>Allowed Vintage</t>
        </r>
        <r>
          <rPr>
            <b/>
            <sz val="8"/>
            <color indexed="81"/>
            <rFont val="Tahoma"/>
            <family val="2"/>
          </rPr>
          <t xml:space="preserve">
NO</t>
        </r>
        <r>
          <rPr>
            <sz val="8"/>
            <color indexed="81"/>
            <rFont val="Tahoma"/>
            <family val="2"/>
          </rPr>
          <t xml:space="preserve"> (if empty by default mean </t>
        </r>
        <r>
          <rPr>
            <b/>
            <sz val="8"/>
            <color indexed="81"/>
            <rFont val="Tahoma"/>
            <family val="2"/>
          </rPr>
          <t>NO</t>
        </r>
        <r>
          <rPr>
            <sz val="8"/>
            <color indexed="81"/>
            <rFont val="Tahoma"/>
            <family val="2"/>
          </rPr>
          <t>)</t>
        </r>
        <r>
          <rPr>
            <b/>
            <sz val="8"/>
            <color indexed="81"/>
            <rFont val="Tahoma"/>
            <family val="2"/>
          </rPr>
          <t xml:space="preserve">
YES</t>
        </r>
      </text>
    </comment>
    <comment ref="H13" authorId="2" shapeId="0">
      <text>
        <r>
          <rPr>
            <sz val="8"/>
            <color indexed="81"/>
            <rFont val="Tahoma"/>
            <family val="2"/>
          </rPr>
          <t xml:space="preserve">Sets declarations are </t>
        </r>
        <r>
          <rPr>
            <sz val="8"/>
            <color indexed="81"/>
            <rFont val="Tahoma"/>
            <family val="2"/>
          </rPr>
          <t>inherited. 
Allowed Process Sets</t>
        </r>
        <r>
          <rPr>
            <b/>
            <sz val="8"/>
            <color indexed="81"/>
            <rFont val="Tahoma"/>
            <family val="2"/>
          </rPr>
          <t xml:space="preserve">
ELE </t>
        </r>
        <r>
          <rPr>
            <sz val="8"/>
            <color indexed="81"/>
            <rFont val="Tahoma"/>
            <family val="2"/>
          </rPr>
          <t>(Thermal Electric Power Plant)</t>
        </r>
        <r>
          <rPr>
            <b/>
            <sz val="8"/>
            <color indexed="81"/>
            <rFont val="Tahoma"/>
            <family val="2"/>
          </rPr>
          <t xml:space="preserve">
CHP </t>
        </r>
        <r>
          <rPr>
            <sz val="8"/>
            <color indexed="81"/>
            <rFont val="Tahoma"/>
            <family val="2"/>
          </rPr>
          <t>(Combined Heat and Power)</t>
        </r>
        <r>
          <rPr>
            <b/>
            <sz val="8"/>
            <color indexed="81"/>
            <rFont val="Tahoma"/>
            <family val="2"/>
          </rPr>
          <t xml:space="preserve">
STGTSS </t>
        </r>
        <r>
          <rPr>
            <sz val="8"/>
            <color indexed="81"/>
            <rFont val="Tahoma"/>
            <family val="2"/>
          </rPr>
          <t>(Pump Storage)</t>
        </r>
        <r>
          <rPr>
            <b/>
            <sz val="8"/>
            <color indexed="81"/>
            <rFont val="Tahoma"/>
            <family val="2"/>
          </rPr>
          <t xml:space="preserve">
STGIPS</t>
        </r>
        <r>
          <rPr>
            <sz val="8"/>
            <color indexed="81"/>
            <rFont val="Tahoma"/>
            <family val="2"/>
          </rPr>
          <t xml:space="preserve"> (Pump Storage IP)</t>
        </r>
        <r>
          <rPr>
            <b/>
            <sz val="8"/>
            <color indexed="81"/>
            <rFont val="Tahoma"/>
            <family val="2"/>
          </rPr>
          <t xml:space="preserve">
PRE </t>
        </r>
        <r>
          <rPr>
            <sz val="8"/>
            <color indexed="81"/>
            <rFont val="Tahoma"/>
            <family val="2"/>
          </rPr>
          <t>(Genric Process/Technology)</t>
        </r>
        <r>
          <rPr>
            <b/>
            <sz val="8"/>
            <color indexed="81"/>
            <rFont val="Tahoma"/>
            <family val="2"/>
          </rPr>
          <t xml:space="preserve">
DMD</t>
        </r>
        <r>
          <rPr>
            <sz val="8"/>
            <color indexed="81"/>
            <rFont val="Tahoma"/>
            <family val="2"/>
          </rPr>
          <t xml:space="preserve"> (Demand Device)</t>
        </r>
        <r>
          <rPr>
            <b/>
            <sz val="8"/>
            <color indexed="81"/>
            <rFont val="Tahoma"/>
            <family val="2"/>
          </rPr>
          <t xml:space="preserve">
IMP </t>
        </r>
        <r>
          <rPr>
            <sz val="8"/>
            <color indexed="81"/>
            <rFont val="Tahoma"/>
            <family val="2"/>
          </rPr>
          <t xml:space="preserve">(Import)
</t>
        </r>
        <r>
          <rPr>
            <b/>
            <sz val="8"/>
            <color indexed="81"/>
            <rFont val="Tahoma"/>
            <family val="2"/>
          </rPr>
          <t>EXP</t>
        </r>
        <r>
          <rPr>
            <sz val="8"/>
            <color indexed="81"/>
            <rFont val="Tahoma"/>
            <family val="2"/>
          </rPr>
          <t xml:space="preserve"> (Export)</t>
        </r>
        <r>
          <rPr>
            <b/>
            <sz val="8"/>
            <color indexed="81"/>
            <rFont val="Tahoma"/>
            <family val="2"/>
          </rPr>
          <t xml:space="preserve">
MIN </t>
        </r>
        <r>
          <rPr>
            <sz val="8"/>
            <color indexed="81"/>
            <rFont val="Tahoma"/>
            <family val="2"/>
          </rPr>
          <t>(Mining Process)</t>
        </r>
        <r>
          <rPr>
            <b/>
            <sz val="8"/>
            <color indexed="81"/>
            <rFont val="Tahoma"/>
            <family val="2"/>
          </rPr>
          <t xml:space="preserve">
RNW </t>
        </r>
        <r>
          <rPr>
            <sz val="8"/>
            <color indexed="81"/>
            <rFont val="Tahoma"/>
            <family val="2"/>
          </rPr>
          <t>(Renewable Technology)</t>
        </r>
        <r>
          <rPr>
            <b/>
            <sz val="8"/>
            <color indexed="81"/>
            <rFont val="Tahoma"/>
            <family val="2"/>
          </rPr>
          <t xml:space="preserve">
HPL</t>
        </r>
        <r>
          <rPr>
            <sz val="8"/>
            <color indexed="81"/>
            <rFont val="Tahoma"/>
            <family val="2"/>
          </rPr>
          <t xml:space="preserve"> (Heating Plant)</t>
        </r>
      </text>
    </comment>
  </commentList>
</comments>
</file>

<file path=xl/comments8.xml><?xml version="1.0" encoding="utf-8"?>
<comments xmlns="http://schemas.openxmlformats.org/spreadsheetml/2006/main">
  <authors>
    <author>Gary Goldstein</author>
    <author>Amit Kanudia</author>
    <author>Maurizio Gargiulo</author>
  </authors>
  <commentList>
    <comment ref="J3" authorId="0" shapeId="0">
      <text>
        <r>
          <rPr>
            <sz val="8"/>
            <color indexed="81"/>
            <rFont val="Tahoma"/>
            <family val="2"/>
          </rPr>
          <t xml:space="preserve">Csets declarations are inherited until the next one is encountered.
Allowed Cset:
</t>
        </r>
        <r>
          <rPr>
            <b/>
            <sz val="8"/>
            <color indexed="81"/>
            <rFont val="Tahoma"/>
            <family val="2"/>
          </rPr>
          <t>NRG</t>
        </r>
        <r>
          <rPr>
            <sz val="8"/>
            <color indexed="81"/>
            <rFont val="Tahoma"/>
            <family val="2"/>
          </rPr>
          <t xml:space="preserve"> (Energy)
</t>
        </r>
        <r>
          <rPr>
            <b/>
            <sz val="8"/>
            <color indexed="81"/>
            <rFont val="Tahoma"/>
            <family val="2"/>
          </rPr>
          <t>ENV</t>
        </r>
        <r>
          <rPr>
            <sz val="8"/>
            <color indexed="81"/>
            <rFont val="Tahoma"/>
            <family val="2"/>
          </rPr>
          <t xml:space="preserve"> (Emission)
</t>
        </r>
        <r>
          <rPr>
            <b/>
            <sz val="8"/>
            <color indexed="81"/>
            <rFont val="Tahoma"/>
            <family val="2"/>
          </rPr>
          <t>DEM</t>
        </r>
        <r>
          <rPr>
            <sz val="8"/>
            <color indexed="81"/>
            <rFont val="Tahoma"/>
            <family val="2"/>
          </rPr>
          <t xml:space="preserve"> (Demand)
</t>
        </r>
        <r>
          <rPr>
            <b/>
            <sz val="8"/>
            <color indexed="81"/>
            <rFont val="Tahoma"/>
            <family val="2"/>
          </rPr>
          <t>MAT</t>
        </r>
        <r>
          <rPr>
            <sz val="8"/>
            <color indexed="81"/>
            <rFont val="Tahoma"/>
            <family val="2"/>
          </rPr>
          <t xml:space="preserve"> (Material)
</t>
        </r>
        <r>
          <rPr>
            <b/>
            <sz val="8"/>
            <color indexed="81"/>
            <rFont val="Tahoma"/>
            <family val="2"/>
          </rPr>
          <t>FIN</t>
        </r>
        <r>
          <rPr>
            <sz val="8"/>
            <color indexed="81"/>
            <rFont val="Tahoma"/>
            <family val="2"/>
          </rPr>
          <t xml:space="preserve"> (Financial)</t>
        </r>
      </text>
    </comment>
    <comment ref="O3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LO for PRODUCTION &gt;= CONSUMPTION (Default)
FX for PRODUCTION = CONSUMPTION
UP for PRODUCTION &lt;= CONSUMPTION</t>
        </r>
      </text>
    </comment>
    <comment ref="P3" authorId="2" shapeId="0">
      <text>
        <r>
          <rPr>
            <sz val="8"/>
            <color indexed="81"/>
            <rFont val="Tahoma"/>
            <family val="2"/>
          </rPr>
          <t>Allowed CTSLvl</t>
        </r>
        <r>
          <rPr>
            <b/>
            <sz val="8"/>
            <color indexed="81"/>
            <rFont val="Tahoma"/>
            <family val="2"/>
          </rPr>
          <t xml:space="preserve">
SEASON</t>
        </r>
        <r>
          <rPr>
            <sz val="8"/>
            <color indexed="81"/>
            <rFont val="Tahoma"/>
            <family val="2"/>
          </rPr>
          <t xml:space="preserve"> (Seasonal level)</t>
        </r>
        <r>
          <rPr>
            <b/>
            <sz val="8"/>
            <color indexed="81"/>
            <rFont val="Tahoma"/>
            <family val="2"/>
          </rPr>
          <t xml:space="preserve">
WEEKLY</t>
        </r>
        <r>
          <rPr>
            <sz val="8"/>
            <color indexed="81"/>
            <rFont val="Tahoma"/>
            <family val="2"/>
          </rPr>
          <t xml:space="preserve"> (Weekly level)</t>
        </r>
        <r>
          <rPr>
            <b/>
            <sz val="8"/>
            <color indexed="81"/>
            <rFont val="Tahoma"/>
            <family val="2"/>
          </rPr>
          <t xml:space="preserve">
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Q3" authorId="2" shapeId="0">
      <text>
        <r>
          <rPr>
            <sz val="8"/>
            <color indexed="81"/>
            <rFont val="Tahoma"/>
            <family val="2"/>
          </rPr>
          <t>Allowed PeakTS</t>
        </r>
        <r>
          <rPr>
            <b/>
            <sz val="8"/>
            <color indexed="81"/>
            <rFont val="Tahoma"/>
            <family val="2"/>
          </rPr>
          <t xml:space="preserve">
ANNUAL </t>
        </r>
        <r>
          <rPr>
            <sz val="8"/>
            <color indexed="81"/>
            <rFont val="Tahoma"/>
            <family val="2"/>
          </rPr>
          <t>(to generate Peak Equation for all the TimeSlices)</t>
        </r>
        <r>
          <rPr>
            <b/>
            <sz val="8"/>
            <color indexed="81"/>
            <rFont val="Tahoma"/>
            <family val="2"/>
          </rPr>
          <t xml:space="preserve">
User TS </t>
        </r>
        <r>
          <rPr>
            <sz val="8"/>
            <color indexed="81"/>
            <rFont val="Tahoma"/>
            <family val="2"/>
          </rPr>
          <t>(to generate Peak Equation for a single TS)</t>
        </r>
      </text>
    </comment>
    <comment ref="R3" authorId="2" shapeId="0">
      <text>
        <r>
          <rPr>
            <sz val="8"/>
            <color indexed="81"/>
            <rFont val="Tahoma"/>
            <family val="2"/>
          </rPr>
          <t xml:space="preserve">Allowed Ctype
</t>
        </r>
        <r>
          <rPr>
            <b/>
            <sz val="8"/>
            <color indexed="81"/>
            <rFont val="Tahoma"/>
            <family val="2"/>
          </rPr>
          <t>ELC</t>
        </r>
        <r>
          <rPr>
            <sz val="8"/>
            <color indexed="81"/>
            <rFont val="Tahoma"/>
            <family val="2"/>
          </rPr>
          <t xml:space="preserve"> (Electricity)</t>
        </r>
      </text>
    </comment>
    <comment ref="P9" authorId="2" shapeId="0">
      <text>
        <r>
          <rPr>
            <sz val="8"/>
            <color indexed="81"/>
            <rFont val="Tahoma"/>
            <family val="2"/>
          </rPr>
          <t xml:space="preserve">Allowed TsLvl
</t>
        </r>
        <r>
          <rPr>
            <b/>
            <sz val="8"/>
            <color indexed="81"/>
            <rFont val="Tahoma"/>
            <family val="2"/>
          </rPr>
          <t>ANNUAL</t>
        </r>
        <r>
          <rPr>
            <sz val="8"/>
            <color indexed="81"/>
            <rFont val="Tahoma"/>
            <family val="2"/>
          </rPr>
          <t xml:space="preserve"> (Annual level)
</t>
        </r>
        <r>
          <rPr>
            <b/>
            <sz val="8"/>
            <color indexed="81"/>
            <rFont val="Tahoma"/>
            <family val="2"/>
          </rPr>
          <t>SEASON</t>
        </r>
        <r>
          <rPr>
            <sz val="8"/>
            <color indexed="81"/>
            <rFont val="Tahoma"/>
            <family val="2"/>
          </rPr>
          <t xml:space="preserve"> (Seasonal level)
</t>
        </r>
        <r>
          <rPr>
            <b/>
            <sz val="8"/>
            <color indexed="81"/>
            <rFont val="Tahoma"/>
            <family val="2"/>
          </rPr>
          <t>WEEKLY</t>
        </r>
        <r>
          <rPr>
            <sz val="8"/>
            <color indexed="81"/>
            <rFont val="Tahoma"/>
            <family val="2"/>
          </rPr>
          <t xml:space="preserve"> (Weekly level)
</t>
        </r>
        <r>
          <rPr>
            <b/>
            <sz val="8"/>
            <color indexed="81"/>
            <rFont val="Tahoma"/>
            <family val="2"/>
          </rPr>
          <t>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Q9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Needed only when one wants to override the VEDA default assignment
</t>
        </r>
      </text>
    </comment>
    <comment ref="R9" authorId="2" shapeId="0">
      <text>
        <r>
          <rPr>
            <sz val="8"/>
            <color indexed="81"/>
            <rFont val="Tahoma"/>
            <family val="2"/>
          </rPr>
          <t>Allowed Vintage</t>
        </r>
        <r>
          <rPr>
            <b/>
            <sz val="8"/>
            <color indexed="81"/>
            <rFont val="Tahoma"/>
            <family val="2"/>
          </rPr>
          <t xml:space="preserve">
NO</t>
        </r>
        <r>
          <rPr>
            <sz val="8"/>
            <color indexed="81"/>
            <rFont val="Tahoma"/>
            <family val="2"/>
          </rPr>
          <t xml:space="preserve"> (if empty by default mean </t>
        </r>
        <r>
          <rPr>
            <b/>
            <sz val="8"/>
            <color indexed="81"/>
            <rFont val="Tahoma"/>
            <family val="2"/>
          </rPr>
          <t>NO</t>
        </r>
        <r>
          <rPr>
            <sz val="8"/>
            <color indexed="81"/>
            <rFont val="Tahoma"/>
            <family val="2"/>
          </rPr>
          <t>)</t>
        </r>
        <r>
          <rPr>
            <b/>
            <sz val="8"/>
            <color indexed="81"/>
            <rFont val="Tahoma"/>
            <family val="2"/>
          </rPr>
          <t xml:space="preserve">
YES</t>
        </r>
      </text>
    </comment>
    <comment ref="J10" authorId="2" shapeId="0">
      <text>
        <r>
          <rPr>
            <sz val="8"/>
            <color indexed="81"/>
            <rFont val="Tahoma"/>
            <family val="2"/>
          </rPr>
          <t xml:space="preserve">Sets declarations are </t>
        </r>
        <r>
          <rPr>
            <sz val="8"/>
            <color indexed="81"/>
            <rFont val="Tahoma"/>
            <family val="2"/>
          </rPr>
          <t>inherited. 
Allowed Process Sets</t>
        </r>
        <r>
          <rPr>
            <b/>
            <sz val="8"/>
            <color indexed="81"/>
            <rFont val="Tahoma"/>
            <family val="2"/>
          </rPr>
          <t xml:space="preserve">
ELE </t>
        </r>
        <r>
          <rPr>
            <sz val="8"/>
            <color indexed="81"/>
            <rFont val="Tahoma"/>
            <family val="2"/>
          </rPr>
          <t>(Thermal Electric Power Plant)</t>
        </r>
        <r>
          <rPr>
            <b/>
            <sz val="8"/>
            <color indexed="81"/>
            <rFont val="Tahoma"/>
            <family val="2"/>
          </rPr>
          <t xml:space="preserve">
CHP </t>
        </r>
        <r>
          <rPr>
            <sz val="8"/>
            <color indexed="81"/>
            <rFont val="Tahoma"/>
            <family val="2"/>
          </rPr>
          <t>(Combined Heat and Power)</t>
        </r>
        <r>
          <rPr>
            <b/>
            <sz val="8"/>
            <color indexed="81"/>
            <rFont val="Tahoma"/>
            <family val="2"/>
          </rPr>
          <t xml:space="preserve">
STGTSS </t>
        </r>
        <r>
          <rPr>
            <sz val="8"/>
            <color indexed="81"/>
            <rFont val="Tahoma"/>
            <family val="2"/>
          </rPr>
          <t>(Pump Storage)</t>
        </r>
        <r>
          <rPr>
            <b/>
            <sz val="8"/>
            <color indexed="81"/>
            <rFont val="Tahoma"/>
            <family val="2"/>
          </rPr>
          <t xml:space="preserve">
STGIPS</t>
        </r>
        <r>
          <rPr>
            <sz val="8"/>
            <color indexed="81"/>
            <rFont val="Tahoma"/>
            <family val="2"/>
          </rPr>
          <t xml:space="preserve"> (Pump Storage IP)</t>
        </r>
        <r>
          <rPr>
            <b/>
            <sz val="8"/>
            <color indexed="81"/>
            <rFont val="Tahoma"/>
            <family val="2"/>
          </rPr>
          <t xml:space="preserve">
PRE </t>
        </r>
        <r>
          <rPr>
            <sz val="8"/>
            <color indexed="81"/>
            <rFont val="Tahoma"/>
            <family val="2"/>
          </rPr>
          <t>(Genric Process/Technology)</t>
        </r>
        <r>
          <rPr>
            <b/>
            <sz val="8"/>
            <color indexed="81"/>
            <rFont val="Tahoma"/>
            <family val="2"/>
          </rPr>
          <t xml:space="preserve">
DMD</t>
        </r>
        <r>
          <rPr>
            <sz val="8"/>
            <color indexed="81"/>
            <rFont val="Tahoma"/>
            <family val="2"/>
          </rPr>
          <t xml:space="preserve"> (Demand Device)</t>
        </r>
        <r>
          <rPr>
            <b/>
            <sz val="8"/>
            <color indexed="81"/>
            <rFont val="Tahoma"/>
            <family val="2"/>
          </rPr>
          <t xml:space="preserve">
IMP </t>
        </r>
        <r>
          <rPr>
            <sz val="8"/>
            <color indexed="81"/>
            <rFont val="Tahoma"/>
            <family val="2"/>
          </rPr>
          <t xml:space="preserve">(Import)
</t>
        </r>
        <r>
          <rPr>
            <b/>
            <sz val="8"/>
            <color indexed="81"/>
            <rFont val="Tahoma"/>
            <family val="2"/>
          </rPr>
          <t>EXP</t>
        </r>
        <r>
          <rPr>
            <sz val="8"/>
            <color indexed="81"/>
            <rFont val="Tahoma"/>
            <family val="2"/>
          </rPr>
          <t xml:space="preserve"> (Export)</t>
        </r>
        <r>
          <rPr>
            <b/>
            <sz val="8"/>
            <color indexed="81"/>
            <rFont val="Tahoma"/>
            <family val="2"/>
          </rPr>
          <t xml:space="preserve">
MIN </t>
        </r>
        <r>
          <rPr>
            <sz val="8"/>
            <color indexed="81"/>
            <rFont val="Tahoma"/>
            <family val="2"/>
          </rPr>
          <t>(Mining Process)</t>
        </r>
        <r>
          <rPr>
            <b/>
            <sz val="8"/>
            <color indexed="81"/>
            <rFont val="Tahoma"/>
            <family val="2"/>
          </rPr>
          <t xml:space="preserve">
RNW </t>
        </r>
        <r>
          <rPr>
            <sz val="8"/>
            <color indexed="81"/>
            <rFont val="Tahoma"/>
            <family val="2"/>
          </rPr>
          <t>(Renewable Technology)</t>
        </r>
        <r>
          <rPr>
            <b/>
            <sz val="8"/>
            <color indexed="81"/>
            <rFont val="Tahoma"/>
            <family val="2"/>
          </rPr>
          <t xml:space="preserve">
HPL</t>
        </r>
        <r>
          <rPr>
            <sz val="8"/>
            <color indexed="81"/>
            <rFont val="Tahoma"/>
            <family val="2"/>
          </rPr>
          <t xml:space="preserve"> (Heating Plant)</t>
        </r>
      </text>
    </comment>
  </commentList>
</comments>
</file>

<file path=xl/sharedStrings.xml><?xml version="1.0" encoding="utf-8"?>
<sst xmlns="http://schemas.openxmlformats.org/spreadsheetml/2006/main" count="596" uniqueCount="152">
  <si>
    <t>CommName</t>
  </si>
  <si>
    <t>TechName</t>
  </si>
  <si>
    <t>TechDesc</t>
  </si>
  <si>
    <t>CommDesc</t>
  </si>
  <si>
    <t>Unit</t>
  </si>
  <si>
    <t>Comm-IN</t>
  </si>
  <si>
    <t>Comm-OUT</t>
  </si>
  <si>
    <t>Csets</t>
  </si>
  <si>
    <t>LimType</t>
  </si>
  <si>
    <t>CTSLvl</t>
  </si>
  <si>
    <t>PeakTS</t>
  </si>
  <si>
    <t>Sets</t>
  </si>
  <si>
    <t>Ctype</t>
  </si>
  <si>
    <t>~FI_T</t>
  </si>
  <si>
    <t>~FI_Comm</t>
  </si>
  <si>
    <t>~FI_Process</t>
  </si>
  <si>
    <t>Tact</t>
  </si>
  <si>
    <t>Tcap</t>
  </si>
  <si>
    <t>Tslvl</t>
  </si>
  <si>
    <t>PrimaryCG</t>
  </si>
  <si>
    <t>Vintage</t>
  </si>
  <si>
    <t>Technology Name</t>
  </si>
  <si>
    <t>Technology Description</t>
  </si>
  <si>
    <t>Activity Unit</t>
  </si>
  <si>
    <t>Capacity Unit</t>
  </si>
  <si>
    <t>Vintage Tracking</t>
  </si>
  <si>
    <t>Commodity Name</t>
  </si>
  <si>
    <t>Commodity Description</t>
  </si>
  <si>
    <t>Peak Monitoring</t>
  </si>
  <si>
    <t>Electricity Indicator</t>
  </si>
  <si>
    <t>Region</t>
  </si>
  <si>
    <t>Region Name</t>
  </si>
  <si>
    <t>Input Commodity</t>
  </si>
  <si>
    <t>Output Commodity</t>
  </si>
  <si>
    <t>CUM</t>
  </si>
  <si>
    <t>COST</t>
  </si>
  <si>
    <t>Reserves Cumulative Value</t>
  </si>
  <si>
    <t>*Commodity Set Membership</t>
  </si>
  <si>
    <t>*Process Set Membership</t>
  </si>
  <si>
    <t>*Technology Name</t>
  </si>
  <si>
    <t>Sense of the Balance EQN.</t>
  </si>
  <si>
    <t>Timeslice Level</t>
  </si>
  <si>
    <t>Primary Commodity Group</t>
  </si>
  <si>
    <t>TimeSlice level of Process Activity</t>
  </si>
  <si>
    <t>COA</t>
  </si>
  <si>
    <t>GAS</t>
  </si>
  <si>
    <t>OIL</t>
  </si>
  <si>
    <t>NUC</t>
  </si>
  <si>
    <t>SLU</t>
  </si>
  <si>
    <t>HET</t>
  </si>
  <si>
    <t>ELC</t>
  </si>
  <si>
    <t>Solid Fuels</t>
  </si>
  <si>
    <t>Natural Gas</t>
  </si>
  <si>
    <t>Nuclear Energy</t>
  </si>
  <si>
    <t>Industrial Wastes</t>
  </si>
  <si>
    <t>Derived Heat</t>
  </si>
  <si>
    <t>Total</t>
  </si>
  <si>
    <t>PRIMARY</t>
  </si>
  <si>
    <t>MIN</t>
  </si>
  <si>
    <t>Domestic Supply</t>
  </si>
  <si>
    <t>IMP</t>
  </si>
  <si>
    <t>Imports</t>
  </si>
  <si>
    <t>EXP</t>
  </si>
  <si>
    <t>Exports</t>
  </si>
  <si>
    <t>CONVERSION</t>
  </si>
  <si>
    <t>ESC</t>
  </si>
  <si>
    <t>Energy Sector Consumption</t>
  </si>
  <si>
    <t>Electricity Plants</t>
  </si>
  <si>
    <t>HPL</t>
  </si>
  <si>
    <t>Heat Plants</t>
  </si>
  <si>
    <t>REF</t>
  </si>
  <si>
    <t>Petroleum Refineries</t>
  </si>
  <si>
    <t>Total Conversion</t>
  </si>
  <si>
    <t>NRG</t>
  </si>
  <si>
    <t>Sector Name</t>
  </si>
  <si>
    <t>Commodity</t>
  </si>
  <si>
    <t>Description</t>
  </si>
  <si>
    <t>PJ</t>
  </si>
  <si>
    <t>Default Unit</t>
  </si>
  <si>
    <t>Currency Unit</t>
  </si>
  <si>
    <t>ACT_BND</t>
  </si>
  <si>
    <t>*</t>
  </si>
  <si>
    <t>EFF</t>
  </si>
  <si>
    <t>Electricity</t>
  </si>
  <si>
    <t>Efficiency</t>
  </si>
  <si>
    <t>*Units</t>
  </si>
  <si>
    <t>Annual Production Bound</t>
  </si>
  <si>
    <t>Cost</t>
  </si>
  <si>
    <t>Default Units</t>
  </si>
  <si>
    <t>Currency</t>
  </si>
  <si>
    <t>Activity</t>
  </si>
  <si>
    <t>Existing</t>
  </si>
  <si>
    <t>E</t>
  </si>
  <si>
    <t>Emissions</t>
  </si>
  <si>
    <t>kt</t>
  </si>
  <si>
    <t>PRE</t>
  </si>
  <si>
    <t>Type</t>
  </si>
  <si>
    <t>Domestic Supply Curve Share - Step 1</t>
  </si>
  <si>
    <t>Domestic Supply Curve Share - Step 2</t>
  </si>
  <si>
    <t>Capacity unit</t>
  </si>
  <si>
    <t>DAYNITE</t>
  </si>
  <si>
    <t>DSL</t>
  </si>
  <si>
    <t>KER</t>
  </si>
  <si>
    <t>LPG</t>
  </si>
  <si>
    <t>GSL</t>
  </si>
  <si>
    <t>NAP</t>
  </si>
  <si>
    <t>HFO</t>
  </si>
  <si>
    <t>OPP</t>
  </si>
  <si>
    <t>Kerosenes</t>
  </si>
  <si>
    <t>Motor spirit</t>
  </si>
  <si>
    <t>Naphtha</t>
  </si>
  <si>
    <t>Heavy Fuel Oil</t>
  </si>
  <si>
    <t>Other Petroleum Products</t>
  </si>
  <si>
    <t>PRI</t>
  </si>
  <si>
    <t>Diesel oil</t>
  </si>
  <si>
    <t>Refinery</t>
  </si>
  <si>
    <t>Pja</t>
  </si>
  <si>
    <t>Share-O~UP</t>
  </si>
  <si>
    <t>Output Share</t>
  </si>
  <si>
    <t>Activity Bound</t>
  </si>
  <si>
    <t>NRGI</t>
  </si>
  <si>
    <t>Crude Oil</t>
  </si>
  <si>
    <t>Data used in the template to buld the model</t>
  </si>
  <si>
    <t>M€2005</t>
  </si>
  <si>
    <t>User inputs</t>
  </si>
  <si>
    <t>Linked to the Energy Balance</t>
  </si>
  <si>
    <t>Reference Energy System (from VEDA-FE Go-To RES feature)</t>
  </si>
  <si>
    <t>Primary Supply (Mining, Import/Export)</t>
  </si>
  <si>
    <t>Conversion (Refinery)</t>
  </si>
  <si>
    <t>Petroleoum Products Imp/Exp</t>
  </si>
  <si>
    <t>TPS</t>
  </si>
  <si>
    <t>Total Primary Supply</t>
  </si>
  <si>
    <t>PRI template</t>
  </si>
  <si>
    <t>BIO</t>
  </si>
  <si>
    <t>HYD</t>
  </si>
  <si>
    <t>WIN</t>
  </si>
  <si>
    <t>SOL</t>
  </si>
  <si>
    <t>Biomass</t>
  </si>
  <si>
    <t>Hydro power</t>
  </si>
  <si>
    <t>Wind energy</t>
  </si>
  <si>
    <t>Solar energy</t>
  </si>
  <si>
    <t>REG2</t>
  </si>
  <si>
    <t>~COMAGG</t>
  </si>
  <si>
    <t>AGRCO2</t>
  </si>
  <si>
    <t>COMCO2</t>
  </si>
  <si>
    <t>RSDCO2</t>
  </si>
  <si>
    <t>ELCCO2</t>
  </si>
  <si>
    <t>TRACO2</t>
  </si>
  <si>
    <t>INDCO2</t>
  </si>
  <si>
    <t>TOTCO2</t>
  </si>
  <si>
    <t>ENV</t>
  </si>
  <si>
    <t>Total CO2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</si>
</sst>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1" formatCode="_-* #,##0.00_-;\-* #,##0.00_-;_-* &quot;-&quot;??_-;_-@_-"/>
    <numFmt numFmtId="179" formatCode="General_)"/>
    <numFmt numFmtId="187" formatCode="\Te\x\t"/>
  </numFmts>
  <fonts count="35">
    <font>
      <sz val="10"/>
      <name val="Arial"/>
    </font>
    <font>
      <sz val="10"/>
      <name val="Arial"/>
    </font>
    <font>
      <sz val="10"/>
      <name val="Courier"/>
      <family val="3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0"/>
      <color rgb="FFFF0000"/>
      <name val="Arial"/>
      <family val="2"/>
    </font>
    <font>
      <sz val="8"/>
      <color theme="1"/>
      <name val="Arial"/>
      <family val="2"/>
    </font>
    <font>
      <b/>
      <sz val="10"/>
      <color rgb="FFFF0000"/>
      <name val="Arial"/>
      <family val="2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9" tint="-0.249977111117893"/>
      <name val="Arial"/>
      <family val="2"/>
    </font>
    <font>
      <b/>
      <sz val="14"/>
      <color rgb="FFFF0000"/>
      <name val="Arial"/>
      <family val="2"/>
    </font>
    <font>
      <sz val="18"/>
      <color theme="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rgb="FFF2F2F2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2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indexed="64"/>
      </top>
      <bottom style="thin">
        <color indexed="64"/>
      </bottom>
      <diagonal/>
    </border>
  </borders>
  <cellStyleXfs count="30">
    <xf numFmtId="0" fontId="0" fillId="0" borderId="0"/>
    <xf numFmtId="0" fontId="20" fillId="3" borderId="0" applyNumberFormat="0" applyBorder="0" applyAlignment="0" applyProtection="0"/>
    <xf numFmtId="0" fontId="21" fillId="4" borderId="0" applyNumberFormat="0" applyBorder="0" applyAlignment="0" applyProtection="0"/>
    <xf numFmtId="0" fontId="21" fillId="5" borderId="0" applyNumberFormat="0" applyBorder="0" applyAlignment="0" applyProtection="0"/>
    <xf numFmtId="0" fontId="21" fillId="6" borderId="0" applyNumberFormat="0" applyBorder="0" applyAlignment="0" applyProtection="0"/>
    <xf numFmtId="0" fontId="22" fillId="7" borderId="15" applyNumberFormat="0" applyAlignment="0" applyProtection="0"/>
    <xf numFmtId="171" fontId="20" fillId="0" borderId="0" applyFont="0" applyFill="0" applyBorder="0" applyAlignment="0" applyProtection="0"/>
    <xf numFmtId="0" fontId="23" fillId="8" borderId="0" applyNumberFormat="0" applyBorder="0" applyAlignment="0" applyProtection="0"/>
    <xf numFmtId="0" fontId="24" fillId="9" borderId="15" applyNumberFormat="0" applyAlignment="0" applyProtection="0"/>
    <xf numFmtId="171" fontId="19" fillId="0" borderId="0" applyFont="0" applyFill="0" applyBorder="0" applyAlignment="0" applyProtection="0"/>
    <xf numFmtId="0" fontId="25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20" fillId="0" borderId="0"/>
    <xf numFmtId="0" fontId="4" fillId="0" borderId="0"/>
    <xf numFmtId="0" fontId="2" fillId="0" borderId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4" fillId="0" borderId="0"/>
  </cellStyleXfs>
  <cellXfs count="134">
    <xf numFmtId="0" fontId="0" fillId="0" borderId="0" xfId="0"/>
    <xf numFmtId="0" fontId="4" fillId="0" borderId="0" xfId="0" applyFont="1"/>
    <xf numFmtId="0" fontId="5" fillId="0" borderId="0" xfId="0" applyFont="1"/>
    <xf numFmtId="0" fontId="3" fillId="2" borderId="1" xfId="0" applyFont="1" applyFill="1" applyBorder="1" applyAlignment="1">
      <alignment horizontal="left"/>
    </xf>
    <xf numFmtId="0" fontId="5" fillId="0" borderId="0" xfId="13" applyFont="1" applyFill="1" applyAlignment="1">
      <alignment horizontal="left"/>
    </xf>
    <xf numFmtId="0" fontId="0" fillId="0" borderId="0" xfId="0" applyFill="1"/>
    <xf numFmtId="0" fontId="0" fillId="0" borderId="0" xfId="0" applyBorder="1" applyAlignment="1"/>
    <xf numFmtId="0" fontId="0" fillId="0" borderId="0" xfId="0" applyBorder="1"/>
    <xf numFmtId="0" fontId="0" fillId="0" borderId="2" xfId="0" applyBorder="1" applyAlignment="1"/>
    <xf numFmtId="1" fontId="0" fillId="0" borderId="0" xfId="0" applyNumberFormat="1"/>
    <xf numFmtId="0" fontId="4" fillId="0" borderId="0" xfId="0" applyFont="1" applyFill="1" applyBorder="1"/>
    <xf numFmtId="0" fontId="4" fillId="0" borderId="0" xfId="0" applyFont="1" applyFill="1"/>
    <xf numFmtId="0" fontId="21" fillId="6" borderId="0" xfId="4"/>
    <xf numFmtId="0" fontId="26" fillId="0" borderId="0" xfId="7" applyFont="1" applyFill="1"/>
    <xf numFmtId="0" fontId="27" fillId="0" borderId="0" xfId="0" applyFont="1" applyFill="1"/>
    <xf numFmtId="0" fontId="26" fillId="11" borderId="0" xfId="7" applyFont="1" applyFill="1"/>
    <xf numFmtId="1" fontId="4" fillId="0" borderId="0" xfId="0" applyNumberFormat="1" applyFont="1" applyFill="1"/>
    <xf numFmtId="1" fontId="0" fillId="0" borderId="0" xfId="0" applyNumberFormat="1" applyFill="1"/>
    <xf numFmtId="0" fontId="28" fillId="3" borderId="3" xfId="1" applyFont="1" applyBorder="1" applyAlignment="1">
      <alignment horizontal="center" wrapText="1"/>
    </xf>
    <xf numFmtId="0" fontId="28" fillId="3" borderId="3" xfId="1" applyFont="1" applyBorder="1" applyAlignment="1">
      <alignment horizontal="left" wrapText="1"/>
    </xf>
    <xf numFmtId="0" fontId="28" fillId="3" borderId="1" xfId="1" applyFont="1" applyBorder="1" applyAlignment="1">
      <alignment horizontal="left" wrapText="1"/>
    </xf>
    <xf numFmtId="0" fontId="3" fillId="2" borderId="1" xfId="13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/>
    </xf>
    <xf numFmtId="0" fontId="26" fillId="11" borderId="0" xfId="7" applyFont="1" applyFill="1" applyAlignment="1">
      <alignment wrapText="1"/>
    </xf>
    <xf numFmtId="0" fontId="0" fillId="0" borderId="0" xfId="0" applyFill="1" applyAlignment="1">
      <alignment wrapText="1"/>
    </xf>
    <xf numFmtId="0" fontId="29" fillId="0" borderId="0" xfId="0" applyFont="1"/>
    <xf numFmtId="0" fontId="4" fillId="0" borderId="5" xfId="0" applyFont="1" applyBorder="1"/>
    <xf numFmtId="0" fontId="4" fillId="0" borderId="6" xfId="0" applyFont="1" applyBorder="1"/>
    <xf numFmtId="9" fontId="27" fillId="0" borderId="6" xfId="18" applyFont="1" applyBorder="1" applyAlignment="1"/>
    <xf numFmtId="0" fontId="4" fillId="0" borderId="7" xfId="0" applyFont="1" applyBorder="1"/>
    <xf numFmtId="9" fontId="27" fillId="0" borderId="7" xfId="18" applyFont="1" applyBorder="1" applyAlignment="1"/>
    <xf numFmtId="0" fontId="4" fillId="0" borderId="0" xfId="0" applyFont="1" applyBorder="1"/>
    <xf numFmtId="9" fontId="27" fillId="0" borderId="0" xfId="18" applyFont="1" applyBorder="1" applyAlignment="1"/>
    <xf numFmtId="0" fontId="21" fillId="6" borderId="0" xfId="4" applyAlignment="1">
      <alignment wrapText="1"/>
    </xf>
    <xf numFmtId="2" fontId="4" fillId="0" borderId="0" xfId="0" applyNumberFormat="1" applyFont="1" applyFill="1" applyBorder="1"/>
    <xf numFmtId="0" fontId="4" fillId="0" borderId="0" xfId="11"/>
    <xf numFmtId="0" fontId="4" fillId="0" borderId="0" xfId="11" applyFont="1"/>
    <xf numFmtId="0" fontId="4" fillId="0" borderId="0" xfId="11" applyFill="1"/>
    <xf numFmtId="0" fontId="4" fillId="0" borderId="0" xfId="11" applyFill="1" applyBorder="1"/>
    <xf numFmtId="0" fontId="3" fillId="0" borderId="0" xfId="13" applyFont="1" applyFill="1" applyBorder="1" applyAlignment="1">
      <alignment horizontal="right" vertical="center" wrapText="1"/>
    </xf>
    <xf numFmtId="1" fontId="4" fillId="0" borderId="0" xfId="11" applyNumberFormat="1"/>
    <xf numFmtId="2" fontId="4" fillId="0" borderId="0" xfId="11" applyNumberFormat="1"/>
    <xf numFmtId="0" fontId="30" fillId="0" borderId="0" xfId="7" applyFont="1" applyFill="1"/>
    <xf numFmtId="0" fontId="31" fillId="0" borderId="0" xfId="4" applyFont="1" applyFill="1" applyAlignment="1">
      <alignment wrapText="1"/>
    </xf>
    <xf numFmtId="0" fontId="4" fillId="0" borderId="0" xfId="11" applyFont="1" applyFill="1"/>
    <xf numFmtId="0" fontId="21" fillId="0" borderId="0" xfId="4" applyFill="1"/>
    <xf numFmtId="0" fontId="5" fillId="0" borderId="0" xfId="11" applyFont="1"/>
    <xf numFmtId="0" fontId="3" fillId="2" borderId="1" xfId="11" applyFont="1" applyFill="1" applyBorder="1" applyAlignment="1">
      <alignment horizontal="left"/>
    </xf>
    <xf numFmtId="0" fontId="3" fillId="2" borderId="4" xfId="11" applyFont="1" applyFill="1" applyBorder="1" applyAlignment="1">
      <alignment horizontal="left"/>
    </xf>
    <xf numFmtId="2" fontId="4" fillId="0" borderId="0" xfId="11" applyNumberFormat="1" applyFont="1" applyFill="1" applyBorder="1"/>
    <xf numFmtId="2" fontId="4" fillId="0" borderId="0" xfId="11" applyNumberFormat="1" applyFill="1" applyBorder="1"/>
    <xf numFmtId="1" fontId="4" fillId="0" borderId="0" xfId="11" applyNumberFormat="1" applyFill="1" applyBorder="1"/>
    <xf numFmtId="9" fontId="4" fillId="0" borderId="0" xfId="11" applyNumberFormat="1"/>
    <xf numFmtId="0" fontId="28" fillId="3" borderId="3" xfId="1" applyFont="1" applyBorder="1" applyAlignment="1">
      <alignment horizontal="left" wrapText="1"/>
    </xf>
    <xf numFmtId="0" fontId="32" fillId="12" borderId="2" xfId="0" applyFont="1" applyFill="1" applyBorder="1" applyAlignment="1">
      <alignment wrapText="1"/>
    </xf>
    <xf numFmtId="0" fontId="3" fillId="12" borderId="2" xfId="0" applyFont="1" applyFill="1" applyBorder="1" applyAlignment="1">
      <alignment wrapText="1"/>
    </xf>
    <xf numFmtId="0" fontId="32" fillId="12" borderId="0" xfId="0" applyFont="1" applyFill="1"/>
    <xf numFmtId="1" fontId="24" fillId="9" borderId="0" xfId="8" applyNumberFormat="1" applyBorder="1" applyAlignment="1"/>
    <xf numFmtId="1" fontId="0" fillId="13" borderId="0" xfId="0" applyNumberFormat="1" applyFill="1" applyBorder="1" applyAlignment="1"/>
    <xf numFmtId="0" fontId="32" fillId="0" borderId="0" xfId="0" applyFont="1" applyFill="1"/>
    <xf numFmtId="179" fontId="22" fillId="7" borderId="5" xfId="5" applyNumberFormat="1" applyBorder="1" applyAlignment="1">
      <alignment horizontal="right" vertical="center"/>
    </xf>
    <xf numFmtId="1" fontId="22" fillId="7" borderId="16" xfId="5" applyNumberFormat="1" applyBorder="1" applyAlignment="1">
      <alignment horizontal="right"/>
    </xf>
    <xf numFmtId="1" fontId="22" fillId="7" borderId="17" xfId="5" applyNumberFormat="1" applyBorder="1" applyAlignment="1">
      <alignment horizontal="right"/>
    </xf>
    <xf numFmtId="1" fontId="22" fillId="7" borderId="18" xfId="5" applyNumberFormat="1" applyBorder="1" applyAlignment="1">
      <alignment horizontal="right"/>
    </xf>
    <xf numFmtId="179" fontId="13" fillId="14" borderId="6" xfId="0" applyNumberFormat="1" applyFont="1" applyFill="1" applyBorder="1" applyAlignment="1">
      <alignment horizontal="left" vertical="center"/>
    </xf>
    <xf numFmtId="1" fontId="0" fillId="14" borderId="0" xfId="0" applyNumberFormat="1" applyFill="1" applyBorder="1" applyAlignment="1"/>
    <xf numFmtId="179" fontId="13" fillId="14" borderId="8" xfId="0" applyNumberFormat="1" applyFont="1" applyFill="1" applyBorder="1" applyAlignment="1">
      <alignment horizontal="left" vertical="center"/>
    </xf>
    <xf numFmtId="0" fontId="0" fillId="14" borderId="0" xfId="0" applyFill="1"/>
    <xf numFmtId="1" fontId="22" fillId="7" borderId="19" xfId="5" applyNumberFormat="1" applyBorder="1" applyAlignment="1">
      <alignment horizontal="right"/>
    </xf>
    <xf numFmtId="0" fontId="26" fillId="11" borderId="0" xfId="7" applyFont="1" applyFill="1" applyAlignment="1">
      <alignment horizontal="left"/>
    </xf>
    <xf numFmtId="2" fontId="4" fillId="14" borderId="0" xfId="0" applyNumberFormat="1" applyFont="1" applyFill="1" applyBorder="1"/>
    <xf numFmtId="1" fontId="4" fillId="15" borderId="0" xfId="0" applyNumberFormat="1" applyFont="1" applyFill="1"/>
    <xf numFmtId="1" fontId="0" fillId="15" borderId="0" xfId="0" applyNumberFormat="1" applyFill="1"/>
    <xf numFmtId="0" fontId="0" fillId="15" borderId="0" xfId="0" applyFill="1"/>
    <xf numFmtId="2" fontId="0" fillId="15" borderId="0" xfId="0" applyNumberFormat="1" applyFill="1"/>
    <xf numFmtId="2" fontId="0" fillId="0" borderId="0" xfId="0" applyNumberFormat="1" applyFill="1"/>
    <xf numFmtId="2" fontId="0" fillId="14" borderId="0" xfId="0" applyNumberFormat="1" applyFill="1"/>
    <xf numFmtId="1" fontId="0" fillId="14" borderId="0" xfId="0" applyNumberFormat="1" applyFill="1"/>
    <xf numFmtId="9" fontId="4" fillId="15" borderId="0" xfId="19" applyFont="1" applyFill="1"/>
    <xf numFmtId="0" fontId="4" fillId="14" borderId="0" xfId="11" applyFill="1"/>
    <xf numFmtId="2" fontId="4" fillId="14" borderId="0" xfId="11" applyNumberFormat="1" applyFill="1"/>
    <xf numFmtId="0" fontId="3" fillId="0" borderId="0" xfId="0" applyFont="1" applyFill="1"/>
    <xf numFmtId="0" fontId="33" fillId="0" borderId="0" xfId="0" applyFont="1"/>
    <xf numFmtId="0" fontId="3" fillId="2" borderId="1" xfId="13" applyFont="1" applyFill="1" applyBorder="1" applyAlignment="1">
      <alignment horizontal="center" vertical="center" wrapText="1"/>
    </xf>
    <xf numFmtId="0" fontId="3" fillId="2" borderId="1" xfId="13" applyFont="1" applyFill="1" applyBorder="1" applyAlignment="1">
      <alignment horizontal="center" vertical="center"/>
    </xf>
    <xf numFmtId="0" fontId="3" fillId="2" borderId="1" xfId="11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21" fillId="4" borderId="0" xfId="2"/>
    <xf numFmtId="0" fontId="4" fillId="15" borderId="0" xfId="11" applyFill="1"/>
    <xf numFmtId="179" fontId="12" fillId="0" borderId="9" xfId="0" applyNumberFormat="1" applyFont="1" applyBorder="1" applyAlignment="1">
      <alignment horizontal="left" vertical="center"/>
    </xf>
    <xf numFmtId="0" fontId="0" fillId="0" borderId="4" xfId="0" applyBorder="1" applyAlignment="1"/>
    <xf numFmtId="0" fontId="0" fillId="0" borderId="10" xfId="0" applyBorder="1" applyAlignment="1"/>
    <xf numFmtId="179" fontId="13" fillId="13" borderId="11" xfId="0" applyNumberFormat="1" applyFont="1" applyFill="1" applyBorder="1" applyAlignment="1">
      <alignment horizontal="left" vertical="center"/>
    </xf>
    <xf numFmtId="1" fontId="3" fillId="13" borderId="12" xfId="0" applyNumberFormat="1" applyFont="1" applyFill="1" applyBorder="1" applyAlignment="1"/>
    <xf numFmtId="179" fontId="12" fillId="0" borderId="13" xfId="0" applyNumberFormat="1" applyFont="1" applyBorder="1" applyAlignment="1">
      <alignment horizontal="left" vertical="center"/>
    </xf>
    <xf numFmtId="0" fontId="3" fillId="0" borderId="14" xfId="0" applyFont="1" applyBorder="1" applyAlignment="1"/>
    <xf numFmtId="1" fontId="3" fillId="14" borderId="12" xfId="0" applyNumberFormat="1" applyFont="1" applyFill="1" applyBorder="1" applyAlignment="1"/>
    <xf numFmtId="0" fontId="3" fillId="2" borderId="1" xfId="11" applyFont="1" applyFill="1" applyBorder="1" applyAlignment="1">
      <alignment horizontal="center" wrapText="1"/>
    </xf>
    <xf numFmtId="1" fontId="4" fillId="15" borderId="0" xfId="11" applyNumberFormat="1" applyFont="1" applyFill="1"/>
    <xf numFmtId="0" fontId="4" fillId="14" borderId="0" xfId="10" applyFont="1" applyFill="1"/>
    <xf numFmtId="1" fontId="4" fillId="14" borderId="0" xfId="0" applyNumberFormat="1" applyFont="1" applyFill="1"/>
    <xf numFmtId="0" fontId="34" fillId="5" borderId="2" xfId="3" applyFont="1" applyBorder="1" applyAlignment="1">
      <alignment horizontal="left" vertical="center"/>
    </xf>
    <xf numFmtId="0" fontId="18" fillId="0" borderId="0" xfId="0" applyFont="1" applyBorder="1" applyAlignment="1"/>
    <xf numFmtId="0" fontId="3" fillId="16" borderId="0" xfId="0" applyFont="1" applyFill="1"/>
    <xf numFmtId="0" fontId="21" fillId="0" borderId="0" xfId="4" applyFill="1" applyAlignment="1">
      <alignment wrapText="1"/>
    </xf>
    <xf numFmtId="0" fontId="23" fillId="0" borderId="0" xfId="7" applyFill="1" applyBorder="1" applyAlignment="1">
      <alignment horizontal="right"/>
    </xf>
    <xf numFmtId="0" fontId="3" fillId="0" borderId="0" xfId="13" applyFont="1" applyFill="1" applyBorder="1" applyAlignment="1">
      <alignment horizontal="center" vertical="center"/>
    </xf>
    <xf numFmtId="0" fontId="28" fillId="0" borderId="0" xfId="1" applyFont="1" applyFill="1" applyBorder="1" applyAlignment="1">
      <alignment horizontal="left" wrapText="1"/>
    </xf>
    <xf numFmtId="0" fontId="28" fillId="0" borderId="0" xfId="1" applyFont="1" applyFill="1" applyBorder="1" applyAlignment="1">
      <alignment horizontal="center" wrapText="1"/>
    </xf>
    <xf numFmtId="0" fontId="4" fillId="2" borderId="3" xfId="0" applyFont="1" applyFill="1" applyBorder="1"/>
    <xf numFmtId="0" fontId="4" fillId="0" borderId="0" xfId="0" applyFont="1" applyFill="1" applyBorder="1" applyAlignment="1">
      <alignment horizontal="left" vertical="center" wrapText="1"/>
    </xf>
    <xf numFmtId="1" fontId="19" fillId="0" borderId="0" xfId="9" applyNumberFormat="1" applyFill="1" applyBorder="1" applyAlignment="1">
      <alignment horizontal="center"/>
    </xf>
    <xf numFmtId="0" fontId="4" fillId="17" borderId="3" xfId="0" applyFont="1" applyFill="1" applyBorder="1"/>
    <xf numFmtId="187" fontId="5" fillId="0" borderId="0" xfId="0" applyNumberFormat="1" applyFont="1"/>
    <xf numFmtId="187" fontId="4" fillId="0" borderId="0" xfId="0" applyNumberFormat="1" applyFont="1"/>
    <xf numFmtId="187" fontId="3" fillId="2" borderId="1" xfId="0" applyNumberFormat="1" applyFont="1" applyFill="1" applyBorder="1" applyAlignment="1">
      <alignment horizontal="left"/>
    </xf>
    <xf numFmtId="187" fontId="3" fillId="2" borderId="4" xfId="0" applyNumberFormat="1" applyFont="1" applyFill="1" applyBorder="1" applyAlignment="1">
      <alignment horizontal="left"/>
    </xf>
    <xf numFmtId="187" fontId="28" fillId="3" borderId="3" xfId="1" applyNumberFormat="1" applyFont="1" applyBorder="1" applyAlignment="1">
      <alignment horizontal="left" wrapText="1"/>
    </xf>
    <xf numFmtId="187" fontId="4" fillId="0" borderId="0" xfId="0" applyNumberFormat="1" applyFont="1" applyFill="1"/>
    <xf numFmtId="187" fontId="0" fillId="0" borderId="0" xfId="0" applyNumberFormat="1" applyFill="1"/>
    <xf numFmtId="187" fontId="0" fillId="0" borderId="0" xfId="0" applyNumberFormat="1"/>
    <xf numFmtId="187" fontId="28" fillId="3" borderId="3" xfId="1" applyNumberFormat="1" applyFont="1" applyBorder="1" applyAlignment="1">
      <alignment horizontal="center" wrapText="1"/>
    </xf>
    <xf numFmtId="187" fontId="0" fillId="0" borderId="0" xfId="0" applyNumberFormat="1" applyFill="1" applyAlignment="1">
      <alignment wrapText="1"/>
    </xf>
    <xf numFmtId="187" fontId="5" fillId="0" borderId="0" xfId="11" applyNumberFormat="1" applyFont="1"/>
    <xf numFmtId="187" fontId="4" fillId="0" borderId="0" xfId="11" applyNumberFormat="1" applyFont="1"/>
    <xf numFmtId="187" fontId="3" fillId="2" borderId="1" xfId="11" applyNumberFormat="1" applyFont="1" applyFill="1" applyBorder="1" applyAlignment="1">
      <alignment horizontal="left"/>
    </xf>
    <xf numFmtId="187" fontId="3" fillId="2" borderId="4" xfId="11" applyNumberFormat="1" applyFont="1" applyFill="1" applyBorder="1" applyAlignment="1">
      <alignment horizontal="left"/>
    </xf>
    <xf numFmtId="187" fontId="4" fillId="0" borderId="0" xfId="11" applyNumberFormat="1" applyFont="1" applyFill="1"/>
    <xf numFmtId="187" fontId="4" fillId="0" borderId="0" xfId="11" applyNumberFormat="1" applyFill="1"/>
    <xf numFmtId="187" fontId="4" fillId="0" borderId="0" xfId="11" applyNumberFormat="1"/>
    <xf numFmtId="187" fontId="4" fillId="0" borderId="0" xfId="11" applyNumberFormat="1" applyFill="1" applyAlignment="1">
      <alignment wrapText="1"/>
    </xf>
    <xf numFmtId="0" fontId="18" fillId="0" borderId="9" xfId="0" applyFont="1" applyBorder="1" applyAlignment="1">
      <alignment horizontal="center"/>
    </xf>
    <xf numFmtId="0" fontId="18" fillId="0" borderId="4" xfId="0" applyFont="1" applyBorder="1" applyAlignment="1">
      <alignment horizontal="center"/>
    </xf>
    <xf numFmtId="0" fontId="18" fillId="0" borderId="10" xfId="0" applyFont="1" applyBorder="1" applyAlignment="1">
      <alignment horizontal="center"/>
    </xf>
  </cellXfs>
  <cellStyles count="30">
    <cellStyle name="20% - Accent5" xfId="1" builtinId="46"/>
    <cellStyle name="60% - Accent2" xfId="2" builtinId="36"/>
    <cellStyle name="Accent1" xfId="3" builtinId="29"/>
    <cellStyle name="Accent2" xfId="4" builtinId="33"/>
    <cellStyle name="Calculation" xfId="5" builtinId="22"/>
    <cellStyle name="Comma 2" xfId="6"/>
    <cellStyle name="Good" xfId="7" builtinId="26"/>
    <cellStyle name="Input" xfId="8" builtinId="20"/>
    <cellStyle name="Migliaia_tab emissioni" xfId="9"/>
    <cellStyle name="Neutral" xfId="10" builtinId="28"/>
    <cellStyle name="Normal" xfId="0" builtinId="0"/>
    <cellStyle name="Normal 10" xfId="11"/>
    <cellStyle name="Normal 2" xfId="12"/>
    <cellStyle name="Normal 4" xfId="13"/>
    <cellStyle name="Normal 4 2" xfId="14"/>
    <cellStyle name="Normal 8" xfId="15"/>
    <cellStyle name="Normal 9 2" xfId="16"/>
    <cellStyle name="Normale_B2020" xfId="17"/>
    <cellStyle name="Per cent" xfId="18" builtinId="5"/>
    <cellStyle name="Percent 2" xfId="19"/>
    <cellStyle name="Percent 3" xfId="20"/>
    <cellStyle name="Percent 3 2" xfId="21"/>
    <cellStyle name="Percent 3 3" xfId="22"/>
    <cellStyle name="Percent 4" xfId="23"/>
    <cellStyle name="Percent 4 2" xfId="24"/>
    <cellStyle name="Percent 4 3" xfId="25"/>
    <cellStyle name="Percent 5" xfId="26"/>
    <cellStyle name="Percent 6" xfId="27"/>
    <cellStyle name="Percent 7" xfId="28"/>
    <cellStyle name="Standard_Sce_D_Extraction" xfId="29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802851</xdr:colOff>
      <xdr:row>18</xdr:row>
      <xdr:rowOff>2963</xdr:rowOff>
    </xdr:from>
    <xdr:to>
      <xdr:col>13</xdr:col>
      <xdr:colOff>31648</xdr:colOff>
      <xdr:row>22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8C6A6BD-64AE-C641-A763-528CA2EEE6E5}"/>
            </a:ext>
          </a:extLst>
        </xdr:cNvPr>
        <xdr:cNvSpPr txBox="1"/>
      </xdr:nvSpPr>
      <xdr:spPr>
        <a:xfrm>
          <a:off x="5873749" y="6096000"/>
          <a:ext cx="4349751" cy="6731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0"/>
            <a:t>This share</a:t>
          </a:r>
          <a:r>
            <a:rPr lang="en-GB" sz="1100" b="0" baseline="0"/>
            <a:t> is used to split the total domestic production in more than one step. In this way it is possible to set up in the model a supply curve defined by the maximum production and cost</a:t>
          </a:r>
          <a:endParaRPr lang="en-GB" sz="11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6</xdr:row>
      <xdr:rowOff>25400</xdr:rowOff>
    </xdr:from>
    <xdr:to>
      <xdr:col>2</xdr:col>
      <xdr:colOff>330200</xdr:colOff>
      <xdr:row>19</xdr:row>
      <xdr:rowOff>152400</xdr:rowOff>
    </xdr:to>
    <xdr:pic>
      <xdr:nvPicPr>
        <xdr:cNvPr id="55463" name="Picture 6">
          <a:extLst>
            <a:ext uri="{FF2B5EF4-FFF2-40B4-BE49-F238E27FC236}">
              <a16:creationId xmlns:a16="http://schemas.microsoft.com/office/drawing/2014/main" id="{13596EA4-B071-6F4C-9EC1-024384247C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9700" y="1130300"/>
          <a:ext cx="914400" cy="2273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482600</xdr:colOff>
      <xdr:row>8</xdr:row>
      <xdr:rowOff>0</xdr:rowOff>
    </xdr:from>
    <xdr:to>
      <xdr:col>14</xdr:col>
      <xdr:colOff>622300</xdr:colOff>
      <xdr:row>14</xdr:row>
      <xdr:rowOff>139700</xdr:rowOff>
    </xdr:to>
    <xdr:pic>
      <xdr:nvPicPr>
        <xdr:cNvPr id="55464" name="Picture 15">
          <a:extLst>
            <a:ext uri="{FF2B5EF4-FFF2-40B4-BE49-F238E27FC236}">
              <a16:creationId xmlns:a16="http://schemas.microsoft.com/office/drawing/2014/main" id="{DF1F6381-6D3A-0744-82DB-E4EFBFDE3B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0" y="1435100"/>
          <a:ext cx="3848100" cy="1130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12700</xdr:colOff>
      <xdr:row>43</xdr:row>
      <xdr:rowOff>0</xdr:rowOff>
    </xdr:from>
    <xdr:to>
      <xdr:col>8</xdr:col>
      <xdr:colOff>622300</xdr:colOff>
      <xdr:row>50</xdr:row>
      <xdr:rowOff>63500</xdr:rowOff>
    </xdr:to>
    <xdr:pic>
      <xdr:nvPicPr>
        <xdr:cNvPr id="55465" name="Picture 7">
          <a:extLst>
            <a:ext uri="{FF2B5EF4-FFF2-40B4-BE49-F238E27FC236}">
              <a16:creationId xmlns:a16="http://schemas.microsoft.com/office/drawing/2014/main" id="{3F9213D4-5371-FC43-B91A-E5E7926843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7300" y="7213600"/>
          <a:ext cx="3975100" cy="1219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74</xdr:row>
      <xdr:rowOff>50800</xdr:rowOff>
    </xdr:from>
    <xdr:to>
      <xdr:col>9</xdr:col>
      <xdr:colOff>520700</xdr:colOff>
      <xdr:row>86</xdr:row>
      <xdr:rowOff>139700</xdr:rowOff>
    </xdr:to>
    <xdr:pic>
      <xdr:nvPicPr>
        <xdr:cNvPr id="55466" name="Picture 18">
          <a:extLst>
            <a:ext uri="{FF2B5EF4-FFF2-40B4-BE49-F238E27FC236}">
              <a16:creationId xmlns:a16="http://schemas.microsoft.com/office/drawing/2014/main" id="{6599D901-8881-BF45-88B6-FDBA8FC7E7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4600" y="12382500"/>
          <a:ext cx="4559300" cy="2070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50</xdr:row>
      <xdr:rowOff>63500</xdr:rowOff>
    </xdr:from>
    <xdr:to>
      <xdr:col>8</xdr:col>
      <xdr:colOff>393700</xdr:colOff>
      <xdr:row>57</xdr:row>
      <xdr:rowOff>101600</xdr:rowOff>
    </xdr:to>
    <xdr:pic>
      <xdr:nvPicPr>
        <xdr:cNvPr id="55467" name="Picture 19">
          <a:extLst>
            <a:ext uri="{FF2B5EF4-FFF2-40B4-BE49-F238E27FC236}">
              <a16:creationId xmlns:a16="http://schemas.microsoft.com/office/drawing/2014/main" id="{0808D342-2652-E949-A82E-1B5FD80135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4600" y="8432800"/>
          <a:ext cx="3759200" cy="1193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57</xdr:row>
      <xdr:rowOff>101600</xdr:rowOff>
    </xdr:from>
    <xdr:to>
      <xdr:col>8</xdr:col>
      <xdr:colOff>393700</xdr:colOff>
      <xdr:row>64</xdr:row>
      <xdr:rowOff>139700</xdr:rowOff>
    </xdr:to>
    <xdr:pic>
      <xdr:nvPicPr>
        <xdr:cNvPr id="55468" name="Picture 20">
          <a:extLst>
            <a:ext uri="{FF2B5EF4-FFF2-40B4-BE49-F238E27FC236}">
              <a16:creationId xmlns:a16="http://schemas.microsoft.com/office/drawing/2014/main" id="{B8E7BB60-D28A-6D40-9AC6-845C638933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4600" y="9626600"/>
          <a:ext cx="3759200" cy="1193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64</xdr:row>
      <xdr:rowOff>127000</xdr:rowOff>
    </xdr:from>
    <xdr:to>
      <xdr:col>9</xdr:col>
      <xdr:colOff>0</xdr:colOff>
      <xdr:row>74</xdr:row>
      <xdr:rowOff>50800</xdr:rowOff>
    </xdr:to>
    <xdr:pic>
      <xdr:nvPicPr>
        <xdr:cNvPr id="55469" name="Picture 21">
          <a:extLst>
            <a:ext uri="{FF2B5EF4-FFF2-40B4-BE49-F238E27FC236}">
              <a16:creationId xmlns:a16="http://schemas.microsoft.com/office/drawing/2014/main" id="{C928DB22-48A0-CE46-9125-2B77160C5D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4600" y="10807700"/>
          <a:ext cx="4038600" cy="157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12700</xdr:colOff>
      <xdr:row>34</xdr:row>
      <xdr:rowOff>139700</xdr:rowOff>
    </xdr:from>
    <xdr:to>
      <xdr:col>10</xdr:col>
      <xdr:colOff>25400</xdr:colOff>
      <xdr:row>43</xdr:row>
      <xdr:rowOff>12700</xdr:rowOff>
    </xdr:to>
    <xdr:pic>
      <xdr:nvPicPr>
        <xdr:cNvPr id="55470" name="Picture 22">
          <a:extLst>
            <a:ext uri="{FF2B5EF4-FFF2-40B4-BE49-F238E27FC236}">
              <a16:creationId xmlns:a16="http://schemas.microsoft.com/office/drawing/2014/main" id="{4DD8FD96-3111-F94E-98A5-00803A57C4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7300" y="5867400"/>
          <a:ext cx="4724400" cy="135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12700</xdr:colOff>
      <xdr:row>20</xdr:row>
      <xdr:rowOff>165100</xdr:rowOff>
    </xdr:from>
    <xdr:to>
      <xdr:col>11</xdr:col>
      <xdr:colOff>12700</xdr:colOff>
      <xdr:row>34</xdr:row>
      <xdr:rowOff>139700</xdr:rowOff>
    </xdr:to>
    <xdr:pic>
      <xdr:nvPicPr>
        <xdr:cNvPr id="55471" name="Picture 23">
          <a:extLst>
            <a:ext uri="{FF2B5EF4-FFF2-40B4-BE49-F238E27FC236}">
              <a16:creationId xmlns:a16="http://schemas.microsoft.com/office/drawing/2014/main" id="{6F6789C5-9DBD-9B4D-88EF-8A5A873B5F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7300" y="3581400"/>
          <a:ext cx="5384800" cy="2286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8</xdr:row>
      <xdr:rowOff>25400</xdr:rowOff>
    </xdr:from>
    <xdr:to>
      <xdr:col>9</xdr:col>
      <xdr:colOff>457200</xdr:colOff>
      <xdr:row>20</xdr:row>
      <xdr:rowOff>165100</xdr:rowOff>
    </xdr:to>
    <xdr:pic>
      <xdr:nvPicPr>
        <xdr:cNvPr id="55472" name="Picture 24">
          <a:extLst>
            <a:ext uri="{FF2B5EF4-FFF2-40B4-BE49-F238E27FC236}">
              <a16:creationId xmlns:a16="http://schemas.microsoft.com/office/drawing/2014/main" id="{80F79E65-D664-9C41-BF8F-8C22DDFD8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4600" y="1460500"/>
          <a:ext cx="4495800" cy="2120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469900</xdr:colOff>
      <xdr:row>15</xdr:row>
      <xdr:rowOff>88900</xdr:rowOff>
    </xdr:from>
    <xdr:to>
      <xdr:col>17</xdr:col>
      <xdr:colOff>203200</xdr:colOff>
      <xdr:row>29</xdr:row>
      <xdr:rowOff>101600</xdr:rowOff>
    </xdr:to>
    <xdr:pic>
      <xdr:nvPicPr>
        <xdr:cNvPr id="55473" name="Picture 25">
          <a:extLst>
            <a:ext uri="{FF2B5EF4-FFF2-40B4-BE49-F238E27FC236}">
              <a16:creationId xmlns:a16="http://schemas.microsoft.com/office/drawing/2014/main" id="{73A66910-C33C-4E4E-B2D4-29B1E06B0A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07300" y="2679700"/>
          <a:ext cx="4991100" cy="2324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469900</xdr:colOff>
      <xdr:row>29</xdr:row>
      <xdr:rowOff>114300</xdr:rowOff>
    </xdr:from>
    <xdr:to>
      <xdr:col>17</xdr:col>
      <xdr:colOff>25400</xdr:colOff>
      <xdr:row>42</xdr:row>
      <xdr:rowOff>88900</xdr:rowOff>
    </xdr:to>
    <xdr:pic>
      <xdr:nvPicPr>
        <xdr:cNvPr id="55474" name="Picture 26">
          <a:extLst>
            <a:ext uri="{FF2B5EF4-FFF2-40B4-BE49-F238E27FC236}">
              <a16:creationId xmlns:a16="http://schemas.microsoft.com/office/drawing/2014/main" id="{9749A91E-DA0E-044C-B85F-517DD51C53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07300" y="5016500"/>
          <a:ext cx="4813300" cy="2120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469900</xdr:colOff>
      <xdr:row>42</xdr:row>
      <xdr:rowOff>101600</xdr:rowOff>
    </xdr:from>
    <xdr:to>
      <xdr:col>17</xdr:col>
      <xdr:colOff>76200</xdr:colOff>
      <xdr:row>55</xdr:row>
      <xdr:rowOff>101600</xdr:rowOff>
    </xdr:to>
    <xdr:pic>
      <xdr:nvPicPr>
        <xdr:cNvPr id="55475" name="Picture 27">
          <a:extLst>
            <a:ext uri="{FF2B5EF4-FFF2-40B4-BE49-F238E27FC236}">
              <a16:creationId xmlns:a16="http://schemas.microsoft.com/office/drawing/2014/main" id="{B62CC210-C91B-C841-804C-C194CA26BD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07300" y="7150100"/>
          <a:ext cx="4864100" cy="2146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469900</xdr:colOff>
      <xdr:row>55</xdr:row>
      <xdr:rowOff>101600</xdr:rowOff>
    </xdr:from>
    <xdr:to>
      <xdr:col>16</xdr:col>
      <xdr:colOff>101600</xdr:colOff>
      <xdr:row>67</xdr:row>
      <xdr:rowOff>88900</xdr:rowOff>
    </xdr:to>
    <xdr:pic>
      <xdr:nvPicPr>
        <xdr:cNvPr id="55476" name="Picture 28">
          <a:extLst>
            <a:ext uri="{FF2B5EF4-FFF2-40B4-BE49-F238E27FC236}">
              <a16:creationId xmlns:a16="http://schemas.microsoft.com/office/drawing/2014/main" id="{9049AC63-009C-9247-8D54-515330D61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07300" y="9296400"/>
          <a:ext cx="4686300" cy="1968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469900</xdr:colOff>
      <xdr:row>67</xdr:row>
      <xdr:rowOff>101600</xdr:rowOff>
    </xdr:from>
    <xdr:to>
      <xdr:col>17</xdr:col>
      <xdr:colOff>215900</xdr:colOff>
      <xdr:row>81</xdr:row>
      <xdr:rowOff>63500</xdr:rowOff>
    </xdr:to>
    <xdr:pic>
      <xdr:nvPicPr>
        <xdr:cNvPr id="55477" name="Picture 29">
          <a:extLst>
            <a:ext uri="{FF2B5EF4-FFF2-40B4-BE49-F238E27FC236}">
              <a16:creationId xmlns:a16="http://schemas.microsoft.com/office/drawing/2014/main" id="{77A6C002-283E-A342-BAFE-6A3805640E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07300" y="11277600"/>
          <a:ext cx="5003800" cy="2273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469900</xdr:colOff>
      <xdr:row>81</xdr:row>
      <xdr:rowOff>63500</xdr:rowOff>
    </xdr:from>
    <xdr:to>
      <xdr:col>15</xdr:col>
      <xdr:colOff>215900</xdr:colOff>
      <xdr:row>89</xdr:row>
      <xdr:rowOff>152400</xdr:rowOff>
    </xdr:to>
    <xdr:pic>
      <xdr:nvPicPr>
        <xdr:cNvPr id="55478" name="Picture 30">
          <a:extLst>
            <a:ext uri="{FF2B5EF4-FFF2-40B4-BE49-F238E27FC236}">
              <a16:creationId xmlns:a16="http://schemas.microsoft.com/office/drawing/2014/main" id="{C0B46294-C02E-2348-9F96-469F59A0D8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07300" y="13550900"/>
          <a:ext cx="4127500" cy="1409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469900</xdr:colOff>
      <xdr:row>89</xdr:row>
      <xdr:rowOff>114300</xdr:rowOff>
    </xdr:from>
    <xdr:to>
      <xdr:col>17</xdr:col>
      <xdr:colOff>38100</xdr:colOff>
      <xdr:row>102</xdr:row>
      <xdr:rowOff>38100</xdr:rowOff>
    </xdr:to>
    <xdr:pic>
      <xdr:nvPicPr>
        <xdr:cNvPr id="55479" name="Picture 31">
          <a:extLst>
            <a:ext uri="{FF2B5EF4-FFF2-40B4-BE49-F238E27FC236}">
              <a16:creationId xmlns:a16="http://schemas.microsoft.com/office/drawing/2014/main" id="{8A140720-1703-5746-ACC1-AAF7D7417E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07300" y="14922500"/>
          <a:ext cx="4826000" cy="2070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19</xdr:row>
      <xdr:rowOff>0</xdr:rowOff>
    </xdr:from>
    <xdr:to>
      <xdr:col>12</xdr:col>
      <xdr:colOff>9525</xdr:colOff>
      <xdr:row>25</xdr:row>
      <xdr:rowOff>76200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90B5B95-BBF6-9C46-8FC5-DCAF8F70F643}"/>
            </a:ext>
          </a:extLst>
        </xdr:cNvPr>
        <xdr:cNvSpPr txBox="1"/>
      </xdr:nvSpPr>
      <xdr:spPr>
        <a:xfrm>
          <a:off x="6600825" y="3733800"/>
          <a:ext cx="4495800" cy="10477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>
            <a:lnSpc>
              <a:spcPts val="1200"/>
            </a:lnSpc>
          </a:pP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Declare coal an energy commodity (FI_COMM table) and define each supply option (FI_Process table).</a:t>
          </a:r>
        </a:p>
        <a:p>
          <a:pPr lvl="0">
            <a:lnSpc>
              <a:spcPts val="1200"/>
            </a:lnSpc>
          </a:pPr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>
            <a:lnSpc>
              <a:spcPts val="1200"/>
            </a:lnSpc>
          </a:pP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Construct a 3-step domestic coal supply curve, along with and import and export option.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20</xdr:row>
      <xdr:rowOff>0</xdr:rowOff>
    </xdr:from>
    <xdr:to>
      <xdr:col>11</xdr:col>
      <xdr:colOff>2646992</xdr:colOff>
      <xdr:row>25</xdr:row>
      <xdr:rowOff>150514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D7F61AB-65B7-6940-9061-9210293444A5}"/>
            </a:ext>
          </a:extLst>
        </xdr:cNvPr>
        <xdr:cNvSpPr txBox="1"/>
      </xdr:nvSpPr>
      <xdr:spPr>
        <a:xfrm>
          <a:off x="6505575" y="3771900"/>
          <a:ext cx="4467225" cy="96202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>
            <a:lnSpc>
              <a:spcPts val="1200"/>
            </a:lnSpc>
          </a:pP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Declare gas an energy commodity (FI_COMM table) and define each supply option (FI_Process table).</a:t>
          </a:r>
        </a:p>
        <a:p>
          <a:pPr lvl="0">
            <a:lnSpc>
              <a:spcPts val="1200"/>
            </a:lnSpc>
          </a:pPr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>
            <a:lnSpc>
              <a:spcPts val="1100"/>
            </a:lnSpc>
          </a:pP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Construct a 3-step domestic gas supply curve, along with and import and export option.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20</xdr:row>
      <xdr:rowOff>0</xdr:rowOff>
    </xdr:from>
    <xdr:to>
      <xdr:col>11</xdr:col>
      <xdr:colOff>2663711</xdr:colOff>
      <xdr:row>26</xdr:row>
      <xdr:rowOff>76200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EA8DBBF-EC11-0B4E-9A26-6A35EDADB866}"/>
            </a:ext>
          </a:extLst>
        </xdr:cNvPr>
        <xdr:cNvSpPr txBox="1"/>
      </xdr:nvSpPr>
      <xdr:spPr>
        <a:xfrm>
          <a:off x="7962900" y="4038600"/>
          <a:ext cx="4486275" cy="10477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Declare oil an energy commodity (FI_COMM table) and define each supply option (FI_Process table).</a:t>
          </a:r>
        </a:p>
        <a:p>
          <a:pPr lvl="0"/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Construct a 3-step domestic oil supply curve, along with and import and export option.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18</xdr:row>
      <xdr:rowOff>19050</xdr:rowOff>
    </xdr:from>
    <xdr:to>
      <xdr:col>11</xdr:col>
      <xdr:colOff>0</xdr:colOff>
      <xdr:row>24</xdr:row>
      <xdr:rowOff>9525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B035982-57B4-FD48-B16B-3DEB7ACE7D05}"/>
            </a:ext>
          </a:extLst>
        </xdr:cNvPr>
        <xdr:cNvSpPr txBox="1"/>
      </xdr:nvSpPr>
      <xdr:spPr>
        <a:xfrm>
          <a:off x="6648450" y="3638550"/>
          <a:ext cx="4781550" cy="10477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Declare  reneable an energy commodity (FI_COMM table) and define each supply option (FI_Process table).</a:t>
          </a:r>
        </a:p>
        <a:p>
          <a:pPr lvl="0"/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Construct a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technology to make available the renewable commodity.</a:t>
          </a:r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16</xdr:row>
      <xdr:rowOff>0</xdr:rowOff>
    </xdr:from>
    <xdr:to>
      <xdr:col>11</xdr:col>
      <xdr:colOff>0</xdr:colOff>
      <xdr:row>21</xdr:row>
      <xdr:rowOff>150512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F053D5D-29CD-9A46-93CB-19ED10C9654C}"/>
            </a:ext>
          </a:extLst>
        </xdr:cNvPr>
        <xdr:cNvSpPr txBox="1"/>
      </xdr:nvSpPr>
      <xdr:spPr>
        <a:xfrm>
          <a:off x="6353175" y="3124200"/>
          <a:ext cx="4581525" cy="10477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Declare nuclear an energy commodity (FI_COMM table) and define each supply option (FI_Process table).</a:t>
          </a:r>
        </a:p>
        <a:p>
          <a:pPr lvl="0"/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Construct a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technology to make available the nuclear commodity.</a:t>
          </a:r>
          <a:endParaRPr lang="en-GB">
            <a:effectLst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33</xdr:row>
      <xdr:rowOff>0</xdr:rowOff>
    </xdr:from>
    <xdr:to>
      <xdr:col>10</xdr:col>
      <xdr:colOff>2851039</xdr:colOff>
      <xdr:row>39</xdr:row>
      <xdr:rowOff>76200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28BA99C-96C3-B14C-8A01-4E0EF7532390}"/>
            </a:ext>
          </a:extLst>
        </xdr:cNvPr>
        <xdr:cNvSpPr txBox="1"/>
      </xdr:nvSpPr>
      <xdr:spPr>
        <a:xfrm>
          <a:off x="7258050" y="6362700"/>
          <a:ext cx="4762500" cy="10477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Declare petroleoum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products</a:t>
          </a: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 energy commodity (FI_COMM table) and define each supply option (FI_Process table).</a:t>
          </a:r>
        </a:p>
        <a:p>
          <a:pPr lvl="0"/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Construct an import and export option for each petroleoum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product.</a:t>
          </a: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19</xdr:row>
      <xdr:rowOff>0</xdr:rowOff>
    </xdr:from>
    <xdr:to>
      <xdr:col>10</xdr:col>
      <xdr:colOff>2841425</xdr:colOff>
      <xdr:row>25</xdr:row>
      <xdr:rowOff>76200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702B927-F086-2143-A22A-10E161C94ED4}"/>
            </a:ext>
          </a:extLst>
        </xdr:cNvPr>
        <xdr:cNvSpPr txBox="1"/>
      </xdr:nvSpPr>
      <xdr:spPr>
        <a:xfrm>
          <a:off x="7200900" y="3248025"/>
          <a:ext cx="4514882" cy="10477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Declare electricity commodity (FI_COMM table) and define each supply option (FI_Process table).</a:t>
          </a:r>
        </a:p>
        <a:p>
          <a:pPr lvl="0"/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Construct an import and export option for electricity.</a:t>
          </a: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14</xdr:col>
      <xdr:colOff>492094</xdr:colOff>
      <xdr:row>8</xdr:row>
      <xdr:rowOff>57150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E7081CAB-9D50-C842-BCAD-ACFA31F3AACA}"/>
            </a:ext>
          </a:extLst>
        </xdr:cNvPr>
        <xdr:cNvSpPr txBox="1"/>
      </xdr:nvSpPr>
      <xdr:spPr>
        <a:xfrm>
          <a:off x="8467725" y="1285875"/>
          <a:ext cx="5686425" cy="58102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ELC commodity is already declared in the ELC workbook. 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Commodities might be declared only one time and if declared in a base year template (VT files) will be available fro all templates .</a:t>
          </a:r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19</xdr:row>
      <xdr:rowOff>0</xdr:rowOff>
    </xdr:from>
    <xdr:to>
      <xdr:col>14</xdr:col>
      <xdr:colOff>789733</xdr:colOff>
      <xdr:row>24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A0F4CA6-9AFD-2941-B488-7841EBC1EBB3}"/>
            </a:ext>
          </a:extLst>
        </xdr:cNvPr>
        <xdr:cNvSpPr txBox="1"/>
      </xdr:nvSpPr>
      <xdr:spPr>
        <a:xfrm>
          <a:off x="9648825" y="3495675"/>
          <a:ext cx="4705350" cy="82867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Declare  REFCO2 an environmental commodity (FI_COMM table) and define the refinery option (FI_Process table).</a:t>
          </a:r>
        </a:p>
        <a:p>
          <a:pPr lvl="0"/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Construct a refinery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technology to convert oil in petroleoum products.</a:t>
          </a:r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663575</xdr:colOff>
      <xdr:row>13</xdr:row>
      <xdr:rowOff>38100</xdr:rowOff>
    </xdr:from>
    <xdr:to>
      <xdr:col>8</xdr:col>
      <xdr:colOff>663575</xdr:colOff>
      <xdr:row>18</xdr:row>
      <xdr:rowOff>144341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B8A2B17-8188-4245-90F0-E0A94A16C15B}"/>
            </a:ext>
          </a:extLst>
        </xdr:cNvPr>
        <xdr:cNvSpPr txBox="1"/>
      </xdr:nvSpPr>
      <xdr:spPr>
        <a:xfrm>
          <a:off x="600075" y="2428875"/>
          <a:ext cx="5019675" cy="915866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 algn="l"/>
          <a:r>
            <a:rPr lang="en-GB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~COMAGG </a:t>
          </a:r>
          <a:r>
            <a:rPr lang="en-GB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is used to define an aggregated commodity, TOTCO2</a:t>
          </a:r>
          <a:r>
            <a:rPr lang="en-GB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GB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this example, multiplying the sectoral</a:t>
          </a:r>
          <a:r>
            <a:rPr lang="en-GB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emissions by a coefficient 1 (cells C1:H1). It is possible to add more aggregated commodities and change multipliers.</a:t>
          </a:r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olfgang/c/temphold/TMPL_RE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nergyBalanc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EA Data"/>
      <sheetName val="E&amp;D Drivers"/>
      <sheetName val="AGR_Fuels"/>
      <sheetName val="AGR"/>
      <sheetName val="RES_Fuels"/>
      <sheetName val="RH1"/>
      <sheetName val="RH2"/>
      <sheetName val="RH3"/>
      <sheetName val="RH4"/>
      <sheetName val="RC1"/>
      <sheetName val="RC2"/>
      <sheetName val="RC3"/>
      <sheetName val="RC4"/>
      <sheetName val="RHW"/>
      <sheetName val="RRF"/>
      <sheetName val="RCW"/>
      <sheetName val="RCD"/>
      <sheetName val="RK1"/>
      <sheetName val="RK2"/>
      <sheetName val="RK3"/>
      <sheetName val="RK4"/>
      <sheetName val="RDW"/>
      <sheetName val="RME"/>
      <sheetName val="RL1"/>
      <sheetName val="RL2"/>
      <sheetName val="RL3"/>
      <sheetName val="RL4"/>
      <sheetName val="COM_Fuels"/>
      <sheetName val="CH1"/>
      <sheetName val="CH2"/>
      <sheetName val="CH3"/>
      <sheetName val="CH4"/>
      <sheetName val="CC1"/>
      <sheetName val="CC2"/>
      <sheetName val="CC3"/>
      <sheetName val="CC4"/>
      <sheetName val="CHW"/>
      <sheetName val="CAA"/>
      <sheetName val="CLA"/>
      <sheetName val="ElastPar"/>
      <sheetName val="Conversion Factors"/>
      <sheetName val="Intro"/>
      <sheetName val="TechRep"/>
      <sheetName val="Other_HYDRO"/>
      <sheetName val="Other_NUCL"/>
      <sheetName val="Other_THERM"/>
      <sheetName val="Other_CHP"/>
      <sheetName val="Other_RENEW"/>
      <sheetName val="Other_HEAT"/>
      <sheetName val="ELC_FUELS"/>
      <sheetName val="ELC"/>
      <sheetName val="HEAT"/>
      <sheetName val="CHP"/>
      <sheetName val="ELC_EMI"/>
      <sheetName val="Constant Table"/>
      <sheetName val="ANS_ITEMS_DEL"/>
      <sheetName val="ANS_ITEMS"/>
      <sheetName val="ANS_TIDDATA"/>
      <sheetName val="ANS_TSDATA"/>
    </sheetNames>
    <sheetDataSet>
      <sheetData sheetId="0" refreshError="1"/>
      <sheetData sheetId="1" refreshError="1"/>
      <sheetData sheetId="2" refreshError="1">
        <row r="2">
          <cell r="A2" t="str">
            <v>^FI_ST: TCH, PRC</v>
          </cell>
        </row>
      </sheetData>
      <sheetData sheetId="3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 refreshError="1"/>
      <sheetData sheetId="40" refreshError="1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ergyBalance"/>
      <sheetName val="EB1"/>
      <sheetName val="EB2"/>
      <sheetName val="RES&amp;OBJ"/>
    </sheetNames>
    <sheetDataSet>
      <sheetData sheetId="0"/>
      <sheetData sheetId="1">
        <row r="16">
          <cell r="D16">
            <v>231.76075</v>
          </cell>
        </row>
      </sheetData>
      <sheetData sheetId="2">
        <row r="5">
          <cell r="D5">
            <v>2834.4252999999999</v>
          </cell>
          <cell r="E5">
            <v>4739.6981999999998</v>
          </cell>
          <cell r="F5">
            <v>2686.252</v>
          </cell>
          <cell r="G5">
            <v>6.4000000000000001E-2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5445</v>
          </cell>
          <cell r="O5">
            <v>753.98999999999978</v>
          </cell>
          <cell r="P5">
            <v>502.66000000000008</v>
          </cell>
          <cell r="Q5">
            <v>490.09350000000001</v>
          </cell>
          <cell r="R5">
            <v>125.66500000000008</v>
          </cell>
          <cell r="S5">
            <v>0</v>
          </cell>
          <cell r="T5">
            <v>0</v>
          </cell>
          <cell r="U5">
            <v>0</v>
          </cell>
        </row>
        <row r="6">
          <cell r="D6">
            <v>2261.9348499999996</v>
          </cell>
          <cell r="E6">
            <v>7975.0373999999993</v>
          </cell>
          <cell r="F6">
            <v>13824.328000000001</v>
          </cell>
          <cell r="G6">
            <v>2204.8490000000002</v>
          </cell>
          <cell r="H6">
            <v>604.98850000000004</v>
          </cell>
          <cell r="I6">
            <v>326.12950000000001</v>
          </cell>
          <cell r="J6">
            <v>660</v>
          </cell>
          <cell r="K6">
            <v>683.1</v>
          </cell>
          <cell r="L6">
            <v>1079.56</v>
          </cell>
          <cell r="M6">
            <v>597.03499999999997</v>
          </cell>
          <cell r="N6">
            <v>0</v>
          </cell>
          <cell r="O6">
            <v>28.254750000000001</v>
          </cell>
          <cell r="P6">
            <v>0</v>
          </cell>
          <cell r="Q6">
            <v>0</v>
          </cell>
          <cell r="R6">
            <v>0</v>
          </cell>
          <cell r="S6">
            <v>3.5000000000000001E-3</v>
          </cell>
          <cell r="T6">
            <v>7.6499999999999999E-2</v>
          </cell>
          <cell r="U6">
            <v>583.76</v>
          </cell>
        </row>
        <row r="7">
          <cell r="D7">
            <v>-401.47415000000001</v>
          </cell>
          <cell r="E7">
            <v>-1509.7986000000001</v>
          </cell>
          <cell r="F7">
            <v>-1648.4854999999998</v>
          </cell>
          <cell r="G7">
            <v>-1683.1424999999999</v>
          </cell>
          <cell r="H7">
            <v>-295.38850000000002</v>
          </cell>
          <cell r="I7">
            <v>-194.51650000000001</v>
          </cell>
          <cell r="J7">
            <v>-1500.6420000000001</v>
          </cell>
          <cell r="K7">
            <v>-400.84</v>
          </cell>
          <cell r="L7">
            <v>-1239.28</v>
          </cell>
          <cell r="M7">
            <v>-453.036</v>
          </cell>
          <cell r="N7">
            <v>0</v>
          </cell>
          <cell r="O7">
            <v>-18.100999999999999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-6.4500000000000002E-2</v>
          </cell>
          <cell r="U7">
            <v>-563.40200000000004</v>
          </cell>
        </row>
        <row r="10">
          <cell r="D10">
            <v>-20.173299999999998</v>
          </cell>
          <cell r="E10">
            <v>-475.78800000000001</v>
          </cell>
          <cell r="F10">
            <v>0</v>
          </cell>
          <cell r="G10">
            <v>-16.283999999999999</v>
          </cell>
          <cell r="H10">
            <v>-2.1499999999999998E-2</v>
          </cell>
          <cell r="I10">
            <v>-528.76099999999997</v>
          </cell>
          <cell r="J10">
            <v>-164.50800000000001</v>
          </cell>
          <cell r="K10">
            <v>-0.61599999999999999</v>
          </cell>
          <cell r="L10">
            <v>-205.88</v>
          </cell>
          <cell r="M10">
            <v>0</v>
          </cell>
          <cell r="N10">
            <v>0</v>
          </cell>
          <cell r="O10">
            <v>-1.0707500000000003</v>
          </cell>
          <cell r="P10">
            <v>0</v>
          </cell>
          <cell r="Q10">
            <v>0</v>
          </cell>
          <cell r="R10">
            <v>0</v>
          </cell>
          <cell r="S10">
            <v>-0.76</v>
          </cell>
          <cell r="T10">
            <v>0</v>
          </cell>
          <cell r="U10">
            <v>0</v>
          </cell>
        </row>
        <row r="11">
          <cell r="D11">
            <v>-3359.3419999999996</v>
          </cell>
          <cell r="E11">
            <v>-3381.3263999999999</v>
          </cell>
          <cell r="F11">
            <v>0</v>
          </cell>
          <cell r="G11">
            <v>-30.160499999999999</v>
          </cell>
          <cell r="H11">
            <v>0</v>
          </cell>
          <cell r="I11">
            <v>-23.835000000000001</v>
          </cell>
          <cell r="J11">
            <v>0</v>
          </cell>
          <cell r="K11">
            <v>0</v>
          </cell>
          <cell r="L11">
            <v>-524.78</v>
          </cell>
          <cell r="M11">
            <v>-33.529000000000003</v>
          </cell>
          <cell r="N11">
            <v>-5445</v>
          </cell>
          <cell r="O11">
            <v>-175.75306250000006</v>
          </cell>
          <cell r="P11">
            <v>-502.66000000000008</v>
          </cell>
          <cell r="Q11">
            <v>-490.09350000000001</v>
          </cell>
          <cell r="R11">
            <v>-68</v>
          </cell>
          <cell r="S11">
            <v>-16.474499999999999</v>
          </cell>
          <cell r="T11">
            <v>868.77949999999998</v>
          </cell>
          <cell r="U11">
            <v>5790.5</v>
          </cell>
        </row>
        <row r="12">
          <cell r="D12">
            <v>-56.488599999999991</v>
          </cell>
          <cell r="E12">
            <v>-180.78059999999999</v>
          </cell>
          <cell r="F12">
            <v>0</v>
          </cell>
          <cell r="G12">
            <v>-7.6189999999999998</v>
          </cell>
          <cell r="H12">
            <v>0</v>
          </cell>
          <cell r="I12">
            <v>-0.23350000000000001</v>
          </cell>
          <cell r="J12">
            <v>0</v>
          </cell>
          <cell r="K12">
            <v>0</v>
          </cell>
          <cell r="L12">
            <v>-15.2</v>
          </cell>
          <cell r="M12">
            <v>-1.772</v>
          </cell>
          <cell r="N12">
            <v>0</v>
          </cell>
          <cell r="O12">
            <v>-35.051749999999998</v>
          </cell>
          <cell r="P12">
            <v>0</v>
          </cell>
          <cell r="Q12">
            <v>0</v>
          </cell>
          <cell r="R12">
            <v>0</v>
          </cell>
          <cell r="S12">
            <v>-0.78449999999999998</v>
          </cell>
          <cell r="T12">
            <v>329.37150000000003</v>
          </cell>
          <cell r="U12">
            <v>0</v>
          </cell>
        </row>
        <row r="13">
          <cell r="D13">
            <v>0</v>
          </cell>
          <cell r="E13">
            <v>0</v>
          </cell>
          <cell r="F13">
            <v>-15868.2305</v>
          </cell>
          <cell r="G13">
            <v>5701.34</v>
          </cell>
          <cell r="H13">
            <v>969.47799999999995</v>
          </cell>
          <cell r="I13">
            <v>1086.3040000000001</v>
          </cell>
          <cell r="J13">
            <v>3354.9119999999998</v>
          </cell>
          <cell r="K13">
            <v>970.28800000000001</v>
          </cell>
          <cell r="L13">
            <v>2285.1019999999999</v>
          </cell>
          <cell r="M13">
            <v>1299.9449999999999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22"/>
  <sheetViews>
    <sheetView tabSelected="1" zoomScale="80" zoomScaleNormal="80" workbookViewId="0">
      <selection activeCell="E36" sqref="E36"/>
    </sheetView>
  </sheetViews>
  <sheetFormatPr baseColWidth="10" defaultRowHeight="13"/>
  <cols>
    <col min="1" max="1" width="3" bestFit="1" customWidth="1"/>
    <col min="2" max="2" width="18.5" bestFit="1" customWidth="1"/>
    <col min="3" max="3" width="41.1640625" bestFit="1" customWidth="1"/>
    <col min="4" max="21" width="10.83203125" customWidth="1"/>
    <col min="22" max="22" width="7.33203125" bestFit="1" customWidth="1"/>
    <col min="23" max="23" width="2" bestFit="1" customWidth="1"/>
    <col min="24" max="24" width="12.33203125" bestFit="1" customWidth="1"/>
    <col min="25" max="25" width="8.83203125" customWidth="1"/>
    <col min="26" max="26" width="6.6640625" bestFit="1" customWidth="1"/>
    <col min="27" max="27" width="9.33203125" bestFit="1" customWidth="1"/>
    <col min="28" max="256" width="8.83203125" customWidth="1"/>
  </cols>
  <sheetData>
    <row r="1" spans="1:27" s="5" customFormat="1">
      <c r="X1" s="25" t="s">
        <v>88</v>
      </c>
      <c r="Y1" s="1" t="s">
        <v>89</v>
      </c>
      <c r="Z1" s="1" t="s">
        <v>90</v>
      </c>
      <c r="AA1" s="1" t="s">
        <v>93</v>
      </c>
    </row>
    <row r="2" spans="1:27" ht="16">
      <c r="C2" s="6"/>
      <c r="D2" s="54" t="s">
        <v>44</v>
      </c>
      <c r="E2" s="54" t="s">
        <v>45</v>
      </c>
      <c r="F2" s="54" t="s">
        <v>46</v>
      </c>
      <c r="G2" s="54" t="s">
        <v>101</v>
      </c>
      <c r="H2" s="54" t="s">
        <v>102</v>
      </c>
      <c r="I2" s="54" t="s">
        <v>103</v>
      </c>
      <c r="J2" s="54" t="s">
        <v>104</v>
      </c>
      <c r="K2" s="54" t="s">
        <v>105</v>
      </c>
      <c r="L2" s="54" t="s">
        <v>106</v>
      </c>
      <c r="M2" s="54" t="s">
        <v>107</v>
      </c>
      <c r="N2" s="54" t="s">
        <v>47</v>
      </c>
      <c r="O2" s="54" t="s">
        <v>133</v>
      </c>
      <c r="P2" s="54" t="s">
        <v>134</v>
      </c>
      <c r="Q2" s="54" t="s">
        <v>135</v>
      </c>
      <c r="R2" s="54" t="s">
        <v>136</v>
      </c>
      <c r="S2" s="54" t="s">
        <v>48</v>
      </c>
      <c r="T2" s="54" t="s">
        <v>49</v>
      </c>
      <c r="U2" s="54" t="s">
        <v>50</v>
      </c>
      <c r="V2" s="54"/>
      <c r="X2" s="7"/>
      <c r="Y2" s="69" t="s">
        <v>123</v>
      </c>
      <c r="Z2" s="15" t="s">
        <v>77</v>
      </c>
      <c r="AA2" s="15" t="s">
        <v>94</v>
      </c>
    </row>
    <row r="3" spans="1:27" ht="42">
      <c r="C3" s="101" t="s">
        <v>141</v>
      </c>
      <c r="D3" s="55" t="s">
        <v>51</v>
      </c>
      <c r="E3" s="55" t="s">
        <v>52</v>
      </c>
      <c r="F3" s="55" t="s">
        <v>121</v>
      </c>
      <c r="G3" s="55" t="s">
        <v>114</v>
      </c>
      <c r="H3" s="55" t="s">
        <v>108</v>
      </c>
      <c r="I3" s="55" t="s">
        <v>103</v>
      </c>
      <c r="J3" s="55" t="s">
        <v>109</v>
      </c>
      <c r="K3" s="55" t="s">
        <v>110</v>
      </c>
      <c r="L3" s="55" t="s">
        <v>111</v>
      </c>
      <c r="M3" s="55" t="s">
        <v>112</v>
      </c>
      <c r="N3" s="55" t="s">
        <v>53</v>
      </c>
      <c r="O3" s="55" t="s">
        <v>137</v>
      </c>
      <c r="P3" s="55" t="s">
        <v>138</v>
      </c>
      <c r="Q3" s="55" t="s">
        <v>139</v>
      </c>
      <c r="R3" s="55" t="s">
        <v>140</v>
      </c>
      <c r="S3" s="55" t="s">
        <v>54</v>
      </c>
      <c r="T3" s="55" t="s">
        <v>55</v>
      </c>
      <c r="U3" s="55" t="s">
        <v>83</v>
      </c>
      <c r="V3" s="55" t="s">
        <v>56</v>
      </c>
    </row>
    <row r="4" spans="1:27">
      <c r="C4" s="89" t="s">
        <v>57</v>
      </c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1"/>
    </row>
    <row r="5" spans="1:27" ht="15">
      <c r="B5" s="56" t="s">
        <v>58</v>
      </c>
      <c r="C5" s="92" t="s">
        <v>59</v>
      </c>
      <c r="D5" s="57">
        <f>[2]EB2!D5</f>
        <v>2834.4252999999999</v>
      </c>
      <c r="E5" s="57">
        <f>[2]EB2!E5</f>
        <v>4739.6981999999998</v>
      </c>
      <c r="F5" s="57">
        <f>[2]EB2!F5</f>
        <v>2686.252</v>
      </c>
      <c r="G5" s="57">
        <f>[2]EB2!G5</f>
        <v>6.4000000000000001E-2</v>
      </c>
      <c r="H5" s="57">
        <f>[2]EB2!H5</f>
        <v>0</v>
      </c>
      <c r="I5" s="57">
        <f>[2]EB2!I5</f>
        <v>0</v>
      </c>
      <c r="J5" s="57">
        <f>[2]EB2!J5</f>
        <v>0</v>
      </c>
      <c r="K5" s="57">
        <f>[2]EB2!K5</f>
        <v>0</v>
      </c>
      <c r="L5" s="57">
        <f>[2]EB2!L5</f>
        <v>0</v>
      </c>
      <c r="M5" s="57">
        <f>[2]EB2!M5</f>
        <v>0</v>
      </c>
      <c r="N5" s="57">
        <f>[2]EB2!N5</f>
        <v>5445</v>
      </c>
      <c r="O5" s="57">
        <f>[2]EB2!O5</f>
        <v>753.98999999999978</v>
      </c>
      <c r="P5" s="57">
        <f>[2]EB2!P5</f>
        <v>502.66000000000008</v>
      </c>
      <c r="Q5" s="57">
        <f>[2]EB2!Q5</f>
        <v>490.09350000000001</v>
      </c>
      <c r="R5" s="57">
        <f>[2]EB2!R5</f>
        <v>125.66500000000008</v>
      </c>
      <c r="S5" s="58">
        <f>[2]EB2!S5</f>
        <v>0</v>
      </c>
      <c r="T5" s="58">
        <f>[2]EB2!T5</f>
        <v>0</v>
      </c>
      <c r="U5" s="57">
        <f>[2]EB2!U5</f>
        <v>0</v>
      </c>
      <c r="V5" s="93">
        <f>SUM(D5:U5)</f>
        <v>17577.847999999998</v>
      </c>
      <c r="X5" s="9"/>
    </row>
    <row r="6" spans="1:27" ht="15">
      <c r="B6" s="56" t="s">
        <v>60</v>
      </c>
      <c r="C6" s="92" t="s">
        <v>61</v>
      </c>
      <c r="D6" s="57">
        <f>[2]EB2!D6</f>
        <v>2261.9348499999996</v>
      </c>
      <c r="E6" s="57">
        <f>[2]EB2!E6</f>
        <v>7975.0373999999993</v>
      </c>
      <c r="F6" s="57">
        <f>[2]EB2!F6</f>
        <v>13824.328000000001</v>
      </c>
      <c r="G6" s="57">
        <f>[2]EB2!G6</f>
        <v>2204.8490000000002</v>
      </c>
      <c r="H6" s="57">
        <f>[2]EB2!H6</f>
        <v>604.98850000000004</v>
      </c>
      <c r="I6" s="57">
        <f>[2]EB2!I6</f>
        <v>326.12950000000001</v>
      </c>
      <c r="J6" s="57">
        <f>[2]EB2!J6</f>
        <v>660</v>
      </c>
      <c r="K6" s="57">
        <f>[2]EB2!K6</f>
        <v>683.1</v>
      </c>
      <c r="L6" s="57">
        <f>[2]EB2!L6</f>
        <v>1079.56</v>
      </c>
      <c r="M6" s="57">
        <f>[2]EB2!M6</f>
        <v>597.03499999999997</v>
      </c>
      <c r="N6" s="57">
        <f>[2]EB2!N6</f>
        <v>0</v>
      </c>
      <c r="O6" s="57">
        <f>[2]EB2!O6</f>
        <v>28.254750000000001</v>
      </c>
      <c r="P6" s="57">
        <f>[2]EB2!P6</f>
        <v>0</v>
      </c>
      <c r="Q6" s="57">
        <f>[2]EB2!Q6</f>
        <v>0</v>
      </c>
      <c r="R6" s="57">
        <f>[2]EB2!R6</f>
        <v>0</v>
      </c>
      <c r="S6" s="58">
        <f>[2]EB2!S6</f>
        <v>3.5000000000000001E-3</v>
      </c>
      <c r="T6" s="58">
        <f>[2]EB2!T6</f>
        <v>7.6499999999999999E-2</v>
      </c>
      <c r="U6" s="57">
        <f>[2]EB2!U6</f>
        <v>583.76</v>
      </c>
      <c r="V6" s="93">
        <f>SUM(D6:U6)</f>
        <v>30829.056999999997</v>
      </c>
    </row>
    <row r="7" spans="1:27" ht="15">
      <c r="B7" s="56" t="s">
        <v>62</v>
      </c>
      <c r="C7" s="92" t="s">
        <v>63</v>
      </c>
      <c r="D7" s="57">
        <f>[2]EB2!D7</f>
        <v>-401.47415000000001</v>
      </c>
      <c r="E7" s="57">
        <f>[2]EB2!E7</f>
        <v>-1509.7986000000001</v>
      </c>
      <c r="F7" s="57">
        <f>[2]EB2!F7</f>
        <v>-1648.4854999999998</v>
      </c>
      <c r="G7" s="57">
        <f>[2]EB2!G7</f>
        <v>-1683.1424999999999</v>
      </c>
      <c r="H7" s="57">
        <f>[2]EB2!H7</f>
        <v>-295.38850000000002</v>
      </c>
      <c r="I7" s="57">
        <f>[2]EB2!I7</f>
        <v>-194.51650000000001</v>
      </c>
      <c r="J7" s="57">
        <f>[2]EB2!J7</f>
        <v>-1500.6420000000001</v>
      </c>
      <c r="K7" s="57">
        <f>[2]EB2!K7</f>
        <v>-400.84</v>
      </c>
      <c r="L7" s="57">
        <f>[2]EB2!L7</f>
        <v>-1239.28</v>
      </c>
      <c r="M7" s="57">
        <f>[2]EB2!M7</f>
        <v>-453.036</v>
      </c>
      <c r="N7" s="57">
        <f>[2]EB2!N7</f>
        <v>0</v>
      </c>
      <c r="O7" s="57">
        <f>[2]EB2!O7</f>
        <v>-18.100999999999999</v>
      </c>
      <c r="P7" s="57">
        <f>[2]EB2!P7</f>
        <v>0</v>
      </c>
      <c r="Q7" s="57">
        <f>[2]EB2!Q7</f>
        <v>0</v>
      </c>
      <c r="R7" s="57">
        <f>[2]EB2!R7</f>
        <v>0</v>
      </c>
      <c r="S7" s="58">
        <f>[2]EB2!S7</f>
        <v>0</v>
      </c>
      <c r="T7" s="58">
        <f>[2]EB2!T7</f>
        <v>-6.4500000000000002E-2</v>
      </c>
      <c r="U7" s="57">
        <f>[2]EB2!U7</f>
        <v>-563.40200000000004</v>
      </c>
      <c r="V7" s="93">
        <f>SUM(D7:U7)</f>
        <v>-9908.1712500000012</v>
      </c>
      <c r="X7" s="9"/>
    </row>
    <row r="8" spans="1:27" ht="15">
      <c r="B8" s="87" t="s">
        <v>130</v>
      </c>
      <c r="C8" s="60" t="s">
        <v>131</v>
      </c>
      <c r="D8" s="61">
        <f>SUM(D5:D7)</f>
        <v>4694.8859999999995</v>
      </c>
      <c r="E8" s="62">
        <f t="shared" ref="E8:U8" si="0">SUM(E5:E7)</f>
        <v>11204.937</v>
      </c>
      <c r="F8" s="62">
        <f t="shared" si="0"/>
        <v>14862.094500000003</v>
      </c>
      <c r="G8" s="62">
        <f t="shared" si="0"/>
        <v>521.77050000000008</v>
      </c>
      <c r="H8" s="62">
        <f t="shared" si="0"/>
        <v>309.60000000000002</v>
      </c>
      <c r="I8" s="62">
        <f t="shared" si="0"/>
        <v>131.613</v>
      </c>
      <c r="J8" s="62">
        <f t="shared" si="0"/>
        <v>-840.64200000000005</v>
      </c>
      <c r="K8" s="62">
        <f t="shared" si="0"/>
        <v>282.26000000000005</v>
      </c>
      <c r="L8" s="62">
        <f t="shared" si="0"/>
        <v>-159.72000000000003</v>
      </c>
      <c r="M8" s="62">
        <f t="shared" si="0"/>
        <v>143.99899999999997</v>
      </c>
      <c r="N8" s="62">
        <f t="shared" si="0"/>
        <v>5445</v>
      </c>
      <c r="O8" s="62">
        <f t="shared" si="0"/>
        <v>764.14374999999984</v>
      </c>
      <c r="P8" s="62"/>
      <c r="Q8" s="62"/>
      <c r="R8" s="62"/>
      <c r="S8" s="62">
        <f t="shared" si="0"/>
        <v>3.5000000000000001E-3</v>
      </c>
      <c r="T8" s="62">
        <f t="shared" si="0"/>
        <v>1.1999999999999997E-2</v>
      </c>
      <c r="U8" s="62">
        <f t="shared" si="0"/>
        <v>20.357999999999947</v>
      </c>
      <c r="V8" s="63">
        <f>SUM(V5:V7)</f>
        <v>38498.733749999999</v>
      </c>
    </row>
    <row r="9" spans="1:27">
      <c r="B9" s="59"/>
      <c r="C9" s="94" t="s">
        <v>64</v>
      </c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95"/>
    </row>
    <row r="10" spans="1:27">
      <c r="B10" s="56" t="s">
        <v>65</v>
      </c>
      <c r="C10" s="64" t="s">
        <v>66</v>
      </c>
      <c r="D10" s="65">
        <f>[2]EB2!D10</f>
        <v>-20.173299999999998</v>
      </c>
      <c r="E10" s="65">
        <f>[2]EB2!E10</f>
        <v>-475.78800000000001</v>
      </c>
      <c r="F10" s="65">
        <f>[2]EB2!F10</f>
        <v>0</v>
      </c>
      <c r="G10" s="65">
        <f>[2]EB2!G10</f>
        <v>-16.283999999999999</v>
      </c>
      <c r="H10" s="65">
        <f>[2]EB2!H10</f>
        <v>-2.1499999999999998E-2</v>
      </c>
      <c r="I10" s="65">
        <f>[2]EB2!I10</f>
        <v>-528.76099999999997</v>
      </c>
      <c r="J10" s="65">
        <f>[2]EB2!J10</f>
        <v>-164.50800000000001</v>
      </c>
      <c r="K10" s="65">
        <f>[2]EB2!K10</f>
        <v>-0.61599999999999999</v>
      </c>
      <c r="L10" s="65">
        <f>[2]EB2!L10</f>
        <v>-205.88</v>
      </c>
      <c r="M10" s="65">
        <f>[2]EB2!M10</f>
        <v>0</v>
      </c>
      <c r="N10" s="65">
        <f>[2]EB2!N10</f>
        <v>0</v>
      </c>
      <c r="O10" s="65">
        <f>[2]EB2!O10</f>
        <v>-1.0707500000000003</v>
      </c>
      <c r="P10" s="65">
        <f>[2]EB2!P10</f>
        <v>0</v>
      </c>
      <c r="Q10" s="65">
        <f>[2]EB2!Q10</f>
        <v>0</v>
      </c>
      <c r="R10" s="65">
        <f>[2]EB2!R10</f>
        <v>0</v>
      </c>
      <c r="S10" s="65">
        <f>[2]EB2!S10</f>
        <v>-0.76</v>
      </c>
      <c r="T10" s="65">
        <f>[2]EB2!T10</f>
        <v>0</v>
      </c>
      <c r="U10" s="65">
        <f>[2]EB2!U10</f>
        <v>0</v>
      </c>
      <c r="V10" s="96">
        <f>SUM(D10:U10)</f>
        <v>-1413.8625499999998</v>
      </c>
    </row>
    <row r="11" spans="1:27">
      <c r="B11" s="56" t="s">
        <v>50</v>
      </c>
      <c r="C11" s="66" t="s">
        <v>67</v>
      </c>
      <c r="D11" s="65">
        <f>[2]EB2!D11</f>
        <v>-3359.3419999999996</v>
      </c>
      <c r="E11" s="65">
        <f>[2]EB2!E11</f>
        <v>-3381.3263999999999</v>
      </c>
      <c r="F11" s="65">
        <f>[2]EB2!F11</f>
        <v>0</v>
      </c>
      <c r="G11" s="65">
        <f>[2]EB2!G11</f>
        <v>-30.160499999999999</v>
      </c>
      <c r="H11" s="65">
        <f>[2]EB2!H11</f>
        <v>0</v>
      </c>
      <c r="I11" s="65">
        <f>[2]EB2!I11</f>
        <v>-23.835000000000001</v>
      </c>
      <c r="J11" s="65">
        <f>[2]EB2!J11</f>
        <v>0</v>
      </c>
      <c r="K11" s="65">
        <f>[2]EB2!K11</f>
        <v>0</v>
      </c>
      <c r="L11" s="65">
        <f>[2]EB2!L11</f>
        <v>-524.78</v>
      </c>
      <c r="M11" s="65">
        <f>[2]EB2!M11</f>
        <v>-33.529000000000003</v>
      </c>
      <c r="N11" s="65">
        <f>[2]EB2!N11</f>
        <v>-5445</v>
      </c>
      <c r="O11" s="65">
        <f>[2]EB2!O11</f>
        <v>-175.75306250000006</v>
      </c>
      <c r="P11" s="65">
        <f>[2]EB2!P11</f>
        <v>-502.66000000000008</v>
      </c>
      <c r="Q11" s="65">
        <f>[2]EB2!Q11</f>
        <v>-490.09350000000001</v>
      </c>
      <c r="R11" s="65">
        <f>[2]EB2!R11</f>
        <v>-68</v>
      </c>
      <c r="S11" s="65">
        <f>[2]EB2!S11</f>
        <v>-16.474499999999999</v>
      </c>
      <c r="T11" s="65">
        <f>[2]EB2!T11</f>
        <v>868.77949999999998</v>
      </c>
      <c r="U11" s="65">
        <f>[2]EB2!U11</f>
        <v>5790.5</v>
      </c>
      <c r="V11" s="96">
        <f>SUM(D11:U11)</f>
        <v>-7391.674462500001</v>
      </c>
    </row>
    <row r="12" spans="1:27">
      <c r="B12" s="56" t="s">
        <v>68</v>
      </c>
      <c r="C12" s="66" t="s">
        <v>69</v>
      </c>
      <c r="D12" s="65">
        <f>[2]EB2!D12</f>
        <v>-56.488599999999991</v>
      </c>
      <c r="E12" s="65">
        <f>[2]EB2!E12</f>
        <v>-180.78059999999999</v>
      </c>
      <c r="F12" s="65">
        <f>[2]EB2!F12</f>
        <v>0</v>
      </c>
      <c r="G12" s="65">
        <f>[2]EB2!G12</f>
        <v>-7.6189999999999998</v>
      </c>
      <c r="H12" s="65">
        <f>[2]EB2!H12</f>
        <v>0</v>
      </c>
      <c r="I12" s="65">
        <f>[2]EB2!I12</f>
        <v>-0.23350000000000001</v>
      </c>
      <c r="J12" s="65">
        <f>[2]EB2!J12</f>
        <v>0</v>
      </c>
      <c r="K12" s="65">
        <f>[2]EB2!K12</f>
        <v>0</v>
      </c>
      <c r="L12" s="65">
        <f>[2]EB2!L12</f>
        <v>-15.2</v>
      </c>
      <c r="M12" s="65">
        <f>[2]EB2!M12</f>
        <v>-1.772</v>
      </c>
      <c r="N12" s="65">
        <f>[2]EB2!N12</f>
        <v>0</v>
      </c>
      <c r="O12" s="65">
        <f>[2]EB2!O12</f>
        <v>-35.051749999999998</v>
      </c>
      <c r="P12" s="65">
        <f>[2]EB2!P12</f>
        <v>0</v>
      </c>
      <c r="Q12" s="65">
        <f>[2]EB2!Q12</f>
        <v>0</v>
      </c>
      <c r="R12" s="65">
        <f>[2]EB2!R12</f>
        <v>0</v>
      </c>
      <c r="S12" s="65">
        <f>[2]EB2!S12</f>
        <v>-0.78449999999999998</v>
      </c>
      <c r="T12" s="65">
        <f>[2]EB2!T12</f>
        <v>329.37150000000003</v>
      </c>
      <c r="U12" s="65">
        <f>[2]EB2!U12</f>
        <v>0</v>
      </c>
      <c r="V12" s="96">
        <f>SUM(D12:U12)</f>
        <v>31.441550000000063</v>
      </c>
    </row>
    <row r="13" spans="1:27" ht="15">
      <c r="B13" s="56" t="s">
        <v>70</v>
      </c>
      <c r="C13" s="66" t="s">
        <v>71</v>
      </c>
      <c r="D13" s="65">
        <f>[2]EB2!D13</f>
        <v>0</v>
      </c>
      <c r="E13" s="65">
        <f>[2]EB2!E13</f>
        <v>0</v>
      </c>
      <c r="F13" s="57">
        <f>[2]EB2!F13</f>
        <v>-15868.2305</v>
      </c>
      <c r="G13" s="57">
        <f>[2]EB2!G13</f>
        <v>5701.34</v>
      </c>
      <c r="H13" s="57">
        <f>[2]EB2!H13</f>
        <v>969.47799999999995</v>
      </c>
      <c r="I13" s="57">
        <f>[2]EB2!I13</f>
        <v>1086.3040000000001</v>
      </c>
      <c r="J13" s="57">
        <f>[2]EB2!J13</f>
        <v>3354.9119999999998</v>
      </c>
      <c r="K13" s="57">
        <f>[2]EB2!K13</f>
        <v>970.28800000000001</v>
      </c>
      <c r="L13" s="57">
        <f>[2]EB2!L13</f>
        <v>2285.1019999999999</v>
      </c>
      <c r="M13" s="57">
        <f>[2]EB2!M13</f>
        <v>1299.9449999999999</v>
      </c>
      <c r="N13" s="65">
        <f>[2]EB2!N13</f>
        <v>0</v>
      </c>
      <c r="O13" s="65">
        <f>[2]EB2!O13</f>
        <v>0</v>
      </c>
      <c r="P13" s="65">
        <f>[2]EB2!P13</f>
        <v>0</v>
      </c>
      <c r="Q13" s="65">
        <f>[2]EB2!Q13</f>
        <v>0</v>
      </c>
      <c r="R13" s="65">
        <f>[2]EB2!R13</f>
        <v>0</v>
      </c>
      <c r="S13" s="65">
        <f>[2]EB2!S13</f>
        <v>0</v>
      </c>
      <c r="T13" s="65">
        <f>[2]EB2!T13</f>
        <v>0</v>
      </c>
      <c r="U13" s="65">
        <f>[2]EB2!U13</f>
        <v>0</v>
      </c>
      <c r="V13" s="96">
        <f>SUM(D13:U13)</f>
        <v>-200.86150000000021</v>
      </c>
    </row>
    <row r="14" spans="1:27" ht="15">
      <c r="B14" s="59"/>
      <c r="C14" s="60" t="s">
        <v>72</v>
      </c>
      <c r="D14" s="68">
        <f>SUM(D10:D13)</f>
        <v>-3436.0038999999997</v>
      </c>
      <c r="E14" s="62">
        <f t="shared" ref="E14:U14" si="1">SUM(E10:E13)</f>
        <v>-4037.895</v>
      </c>
      <c r="F14" s="62">
        <f t="shared" si="1"/>
        <v>-15868.2305</v>
      </c>
      <c r="G14" s="62">
        <f t="shared" si="1"/>
        <v>5647.2764999999999</v>
      </c>
      <c r="H14" s="62">
        <f t="shared" si="1"/>
        <v>969.45650000000001</v>
      </c>
      <c r="I14" s="62">
        <f t="shared" si="1"/>
        <v>533.47450000000003</v>
      </c>
      <c r="J14" s="62">
        <f t="shared" si="1"/>
        <v>3190.404</v>
      </c>
      <c r="K14" s="62">
        <f t="shared" si="1"/>
        <v>969.67200000000003</v>
      </c>
      <c r="L14" s="62">
        <f t="shared" si="1"/>
        <v>1539.2419999999997</v>
      </c>
      <c r="M14" s="62">
        <f t="shared" si="1"/>
        <v>1264.644</v>
      </c>
      <c r="N14" s="62">
        <f t="shared" si="1"/>
        <v>-5445</v>
      </c>
      <c r="O14" s="62">
        <f t="shared" si="1"/>
        <v>-211.87556250000006</v>
      </c>
      <c r="P14" s="62"/>
      <c r="Q14" s="62"/>
      <c r="R14" s="62"/>
      <c r="S14" s="62">
        <f t="shared" si="1"/>
        <v>-18.019000000000002</v>
      </c>
      <c r="T14" s="62">
        <f t="shared" si="1"/>
        <v>1198.1510000000001</v>
      </c>
      <c r="U14" s="62">
        <f t="shared" si="1"/>
        <v>5790.5</v>
      </c>
      <c r="V14" s="63">
        <f>SUM(V10:V13)</f>
        <v>-8974.9569625000022</v>
      </c>
    </row>
    <row r="15" spans="1:27">
      <c r="A15" s="5"/>
      <c r="D15" s="9"/>
      <c r="F15" s="9"/>
      <c r="G15" s="9"/>
      <c r="H15" s="9"/>
      <c r="I15" s="9"/>
      <c r="J15" s="9"/>
      <c r="K15" s="9"/>
      <c r="L15" s="9"/>
      <c r="M15" s="9"/>
    </row>
    <row r="16" spans="1:27">
      <c r="A16" s="5"/>
      <c r="D16" s="9"/>
      <c r="F16" s="9"/>
      <c r="G16" s="9"/>
      <c r="H16" s="9"/>
      <c r="I16" s="9"/>
      <c r="J16" s="9"/>
      <c r="K16" s="9"/>
      <c r="L16" s="9"/>
      <c r="M16" s="9"/>
    </row>
    <row r="17" spans="1:13" ht="15">
      <c r="A17" s="5"/>
      <c r="C17" s="57" t="s">
        <v>122</v>
      </c>
      <c r="D17" s="57"/>
      <c r="E17" s="57"/>
      <c r="F17" s="9"/>
      <c r="G17" s="9"/>
      <c r="H17" s="9"/>
      <c r="I17" s="9"/>
      <c r="J17" s="9"/>
      <c r="K17" s="9"/>
      <c r="L17" s="9"/>
      <c r="M17" s="9"/>
    </row>
    <row r="18" spans="1:13">
      <c r="A18" s="5"/>
      <c r="D18" s="9"/>
      <c r="F18" s="9"/>
      <c r="G18" s="9"/>
      <c r="H18" s="9"/>
      <c r="I18" s="9"/>
      <c r="J18" s="9"/>
      <c r="K18" s="9"/>
      <c r="L18" s="9"/>
      <c r="M18" s="9"/>
    </row>
    <row r="19" spans="1:13">
      <c r="A19" s="5"/>
      <c r="D19" s="9"/>
      <c r="F19" s="9"/>
      <c r="G19" s="9"/>
      <c r="H19" s="9"/>
      <c r="I19" s="9"/>
      <c r="J19" s="9"/>
      <c r="K19" s="9"/>
      <c r="L19" s="9"/>
      <c r="M19" s="9"/>
    </row>
    <row r="20" spans="1:13">
      <c r="A20" s="5"/>
      <c r="D20" s="26" t="s">
        <v>44</v>
      </c>
      <c r="E20" s="26" t="s">
        <v>45</v>
      </c>
      <c r="F20" s="26" t="s">
        <v>46</v>
      </c>
      <c r="G20" s="31"/>
      <c r="H20" s="31"/>
      <c r="I20" s="31"/>
      <c r="J20" s="31"/>
      <c r="K20" s="31"/>
      <c r="L20" s="31"/>
      <c r="M20" s="31"/>
    </row>
    <row r="21" spans="1:13">
      <c r="A21" s="5"/>
      <c r="C21" s="27" t="s">
        <v>97</v>
      </c>
      <c r="D21" s="28">
        <v>0.75</v>
      </c>
      <c r="E21" s="28">
        <v>0.5</v>
      </c>
      <c r="F21" s="28">
        <v>0.8</v>
      </c>
      <c r="G21" s="32"/>
      <c r="H21" s="32"/>
      <c r="I21" s="32"/>
      <c r="J21" s="32"/>
      <c r="K21" s="32"/>
      <c r="L21" s="32"/>
      <c r="M21" s="32"/>
    </row>
    <row r="22" spans="1:13">
      <c r="A22" s="5"/>
      <c r="C22" s="29" t="s">
        <v>98</v>
      </c>
      <c r="D22" s="30">
        <v>0.25</v>
      </c>
      <c r="E22" s="30">
        <v>0.5</v>
      </c>
      <c r="F22" s="30">
        <v>0.2</v>
      </c>
      <c r="G22" s="32"/>
      <c r="H22" s="32"/>
      <c r="I22" s="32"/>
      <c r="J22" s="32"/>
      <c r="K22" s="32"/>
      <c r="L22" s="32"/>
      <c r="M22" s="3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Q44"/>
  <sheetViews>
    <sheetView topLeftCell="A3" zoomScale="50" zoomScaleNormal="50" workbookViewId="0">
      <selection activeCell="U19" sqref="U19"/>
    </sheetView>
  </sheetViews>
  <sheetFormatPr baseColWidth="10" defaultRowHeight="13"/>
  <cols>
    <col min="1" max="1" width="1.83203125" customWidth="1"/>
    <col min="2" max="2" width="7.6640625" customWidth="1"/>
    <col min="3" max="3" width="6.83203125" customWidth="1"/>
    <col min="4" max="11" width="8.83203125" customWidth="1"/>
    <col min="12" max="12" width="6.6640625" customWidth="1"/>
    <col min="13" max="13" width="26.1640625" customWidth="1"/>
    <col min="14" max="14" width="22.5" customWidth="1"/>
    <col min="15" max="16" width="8.83203125" customWidth="1"/>
    <col min="17" max="17" width="2.6640625" customWidth="1"/>
    <col min="18" max="256" width="8.83203125" customWidth="1"/>
  </cols>
  <sheetData>
    <row r="3" spans="2:17" ht="18">
      <c r="B3" s="82" t="s">
        <v>126</v>
      </c>
    </row>
    <row r="5" spans="2:17" ht="18">
      <c r="D5" s="131" t="s">
        <v>132</v>
      </c>
      <c r="E5" s="132"/>
      <c r="F5" s="132"/>
      <c r="G5" s="132"/>
      <c r="H5" s="132"/>
      <c r="I5" s="132"/>
      <c r="J5" s="132"/>
      <c r="K5" s="132"/>
      <c r="L5" s="132"/>
      <c r="M5" s="132"/>
      <c r="N5" s="132"/>
      <c r="O5" s="132"/>
      <c r="P5" s="133"/>
      <c r="Q5" s="102"/>
    </row>
    <row r="6" spans="2:17" ht="12.75" customHeight="1">
      <c r="D6" s="103" t="s">
        <v>127</v>
      </c>
      <c r="E6" s="103"/>
      <c r="F6" s="103"/>
      <c r="G6" s="103"/>
      <c r="H6" s="103"/>
      <c r="I6" s="103"/>
      <c r="M6" s="103" t="s">
        <v>128</v>
      </c>
      <c r="N6" s="103"/>
      <c r="O6" s="103"/>
      <c r="P6" s="103"/>
      <c r="Q6" s="81"/>
    </row>
    <row r="7" spans="2:17">
      <c r="M7" s="103" t="s">
        <v>129</v>
      </c>
      <c r="N7" s="103"/>
      <c r="O7" s="103"/>
      <c r="P7" s="103"/>
    </row>
    <row r="44" spans="13:17">
      <c r="M44" s="81"/>
      <c r="N44" s="81"/>
      <c r="O44" s="81"/>
      <c r="P44" s="5"/>
      <c r="Q44" s="5"/>
    </row>
  </sheetData>
  <mergeCells count="1">
    <mergeCell ref="D5:P5"/>
  </mergeCells>
  <pageMargins left="0.7" right="0.7" top="0.75" bottom="0.75" header="0.3" footer="0.3"/>
  <pageSetup paperSize="9" orientation="portrait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R32"/>
  <sheetViews>
    <sheetView zoomScaleNormal="100" workbookViewId="0">
      <selection activeCell="E1" sqref="E1:F65536"/>
    </sheetView>
  </sheetViews>
  <sheetFormatPr baseColWidth="10" defaultRowHeight="13"/>
  <cols>
    <col min="1" max="1" width="2" bestFit="1" customWidth="1"/>
    <col min="2" max="2" width="13.33203125" bestFit="1" customWidth="1"/>
    <col min="3" max="3" width="11.33203125" bestFit="1" customWidth="1"/>
    <col min="4" max="4" width="11.6640625" customWidth="1"/>
    <col min="5" max="5" width="14.33203125" bestFit="1" customWidth="1"/>
    <col min="6" max="6" width="8.5" bestFit="1" customWidth="1"/>
    <col min="7" max="7" width="14" customWidth="1"/>
    <col min="8" max="8" width="2" bestFit="1" customWidth="1"/>
    <col min="9" max="9" width="13.6640625" customWidth="1"/>
    <col min="10" max="10" width="7.1640625" customWidth="1"/>
    <col min="11" max="11" width="11.5" bestFit="1" customWidth="1"/>
    <col min="12" max="12" width="35" bestFit="1" customWidth="1"/>
    <col min="13" max="13" width="6.1640625" customWidth="1"/>
    <col min="14" max="14" width="11.5" customWidth="1"/>
    <col min="15" max="15" width="13" customWidth="1"/>
    <col min="16" max="16" width="15.1640625" customWidth="1"/>
    <col min="17" max="17" width="7.5" bestFit="1" customWidth="1"/>
    <col min="18" max="256" width="8.83203125" customWidth="1"/>
  </cols>
  <sheetData>
    <row r="1" spans="2:18" ht="32">
      <c r="B1" s="33" t="s">
        <v>74</v>
      </c>
      <c r="C1" s="33" t="s">
        <v>75</v>
      </c>
      <c r="D1" s="33" t="s">
        <v>76</v>
      </c>
      <c r="E1" s="33" t="s">
        <v>78</v>
      </c>
      <c r="F1" s="33" t="s">
        <v>79</v>
      </c>
    </row>
    <row r="2" spans="2:18" ht="16">
      <c r="B2" s="15"/>
      <c r="C2" s="15" t="str">
        <f>'EB2'!D2</f>
        <v>COA</v>
      </c>
      <c r="D2" s="15" t="str">
        <f>'EB2'!D3</f>
        <v>Solid Fuels</v>
      </c>
      <c r="E2" s="15" t="str">
        <f>'EB2'!Z2</f>
        <v>PJ</v>
      </c>
      <c r="F2" s="15" t="str">
        <f>'EB2'!Y2</f>
        <v>M€2005</v>
      </c>
      <c r="I2" s="113" t="s">
        <v>14</v>
      </c>
      <c r="J2" s="113"/>
      <c r="K2" s="114"/>
      <c r="L2" s="114"/>
      <c r="M2" s="114"/>
      <c r="N2" s="114"/>
      <c r="O2" s="114"/>
      <c r="P2" s="114"/>
      <c r="Q2" s="114"/>
    </row>
    <row r="3" spans="2:18">
      <c r="I3" s="115" t="s">
        <v>7</v>
      </c>
      <c r="J3" s="116" t="s">
        <v>30</v>
      </c>
      <c r="K3" s="115" t="s">
        <v>0</v>
      </c>
      <c r="L3" s="115" t="s">
        <v>3</v>
      </c>
      <c r="M3" s="115" t="s">
        <v>4</v>
      </c>
      <c r="N3" s="115" t="s">
        <v>8</v>
      </c>
      <c r="O3" s="115" t="s">
        <v>9</v>
      </c>
      <c r="P3" s="115" t="s">
        <v>10</v>
      </c>
      <c r="Q3" s="115" t="s">
        <v>12</v>
      </c>
    </row>
    <row r="4" spans="2:18" ht="25" thickBot="1">
      <c r="C4" s="1"/>
      <c r="I4" s="117" t="s">
        <v>37</v>
      </c>
      <c r="J4" s="117" t="s">
        <v>31</v>
      </c>
      <c r="K4" s="117" t="s">
        <v>26</v>
      </c>
      <c r="L4" s="117" t="s">
        <v>27</v>
      </c>
      <c r="M4" s="117" t="s">
        <v>4</v>
      </c>
      <c r="N4" s="117" t="s">
        <v>40</v>
      </c>
      <c r="O4" s="117" t="s">
        <v>41</v>
      </c>
      <c r="P4" s="117" t="s">
        <v>28</v>
      </c>
      <c r="Q4" s="117" t="s">
        <v>29</v>
      </c>
    </row>
    <row r="5" spans="2:18">
      <c r="I5" s="118" t="s">
        <v>73</v>
      </c>
      <c r="J5" s="119"/>
      <c r="K5" s="118" t="str">
        <f>C2</f>
        <v>COA</v>
      </c>
      <c r="L5" s="118" t="str">
        <f>D2</f>
        <v>Solid Fuels</v>
      </c>
      <c r="M5" s="118" t="str">
        <f>$E$2</f>
        <v>PJ</v>
      </c>
      <c r="N5" s="118"/>
      <c r="O5" s="118"/>
      <c r="P5" s="118"/>
      <c r="Q5" s="118"/>
    </row>
    <row r="7" spans="2:18">
      <c r="D7" s="4" t="s">
        <v>13</v>
      </c>
      <c r="F7" s="4"/>
      <c r="I7" s="113" t="s">
        <v>15</v>
      </c>
      <c r="J7" s="113"/>
      <c r="K7" s="120"/>
      <c r="L7" s="120"/>
      <c r="M7" s="120"/>
      <c r="N7" s="120"/>
      <c r="O7" s="120"/>
      <c r="P7" s="120"/>
      <c r="Q7" s="120"/>
    </row>
    <row r="8" spans="2:18">
      <c r="B8" s="3" t="s">
        <v>1</v>
      </c>
      <c r="C8" s="22" t="s">
        <v>5</v>
      </c>
      <c r="D8" s="3" t="s">
        <v>6</v>
      </c>
      <c r="E8" s="86" t="s">
        <v>34</v>
      </c>
      <c r="F8" s="86" t="s">
        <v>35</v>
      </c>
      <c r="G8" s="86" t="s">
        <v>80</v>
      </c>
      <c r="H8" s="5"/>
      <c r="I8" s="115" t="s">
        <v>11</v>
      </c>
      <c r="J8" s="116" t="s">
        <v>30</v>
      </c>
      <c r="K8" s="115" t="s">
        <v>1</v>
      </c>
      <c r="L8" s="115" t="s">
        <v>2</v>
      </c>
      <c r="M8" s="115" t="s">
        <v>16</v>
      </c>
      <c r="N8" s="115" t="s">
        <v>17</v>
      </c>
      <c r="O8" s="115" t="s">
        <v>18</v>
      </c>
      <c r="P8" s="115" t="s">
        <v>19</v>
      </c>
      <c r="Q8" s="115" t="s">
        <v>20</v>
      </c>
    </row>
    <row r="9" spans="2:18" s="5" customFormat="1" ht="25" thickBot="1">
      <c r="B9" s="53" t="s">
        <v>39</v>
      </c>
      <c r="C9" s="53" t="s">
        <v>32</v>
      </c>
      <c r="D9" s="53" t="s">
        <v>33</v>
      </c>
      <c r="E9" s="53" t="s">
        <v>36</v>
      </c>
      <c r="F9" s="53" t="s">
        <v>87</v>
      </c>
      <c r="G9" s="53" t="s">
        <v>86</v>
      </c>
      <c r="I9" s="117" t="s">
        <v>38</v>
      </c>
      <c r="J9" s="117" t="s">
        <v>31</v>
      </c>
      <c r="K9" s="117" t="s">
        <v>21</v>
      </c>
      <c r="L9" s="117" t="s">
        <v>22</v>
      </c>
      <c r="M9" s="117" t="s">
        <v>23</v>
      </c>
      <c r="N9" s="117" t="s">
        <v>24</v>
      </c>
      <c r="O9" s="117" t="s">
        <v>43</v>
      </c>
      <c r="P9" s="117" t="s">
        <v>42</v>
      </c>
      <c r="Q9" s="117" t="s">
        <v>25</v>
      </c>
    </row>
    <row r="10" spans="2:18" s="5" customFormat="1" ht="14" thickBot="1">
      <c r="B10" s="53" t="s">
        <v>85</v>
      </c>
      <c r="C10" s="18"/>
      <c r="D10" s="18"/>
      <c r="E10" s="18" t="str">
        <f>$E$2</f>
        <v>PJ</v>
      </c>
      <c r="F10" s="18" t="str">
        <f>$F$2&amp;"/"&amp;$E$2</f>
        <v>M€2005/PJ</v>
      </c>
      <c r="G10" s="18" t="str">
        <f>$E$2</f>
        <v>PJ</v>
      </c>
      <c r="I10" s="117" t="s">
        <v>81</v>
      </c>
      <c r="J10" s="121"/>
      <c r="K10" s="121"/>
      <c r="L10" s="121"/>
      <c r="M10" s="121"/>
      <c r="N10" s="121"/>
      <c r="O10" s="121"/>
      <c r="P10" s="121"/>
      <c r="Q10" s="121"/>
    </row>
    <row r="11" spans="2:18" s="5" customFormat="1" ht="14">
      <c r="B11" s="11" t="str">
        <f>K11</f>
        <v>MINCOA1</v>
      </c>
      <c r="C11" s="11"/>
      <c r="D11" s="11" t="str">
        <f>$K$5</f>
        <v>COA</v>
      </c>
      <c r="E11" s="99">
        <v>80000</v>
      </c>
      <c r="F11" s="70">
        <v>2</v>
      </c>
      <c r="G11" s="71">
        <f>'EB2'!$D$5*'EB2'!D21</f>
        <v>2125.8189750000001</v>
      </c>
      <c r="I11" s="118" t="str">
        <f>'EB2'!$B$5</f>
        <v>MIN</v>
      </c>
      <c r="J11" s="119"/>
      <c r="K11" s="119" t="str">
        <f>$I$11&amp;$C$2&amp;1</f>
        <v>MINCOA1</v>
      </c>
      <c r="L11" s="122" t="str">
        <f>"Domestic Supply of "&amp;$D$2&amp; " Step "&amp;RIGHT(K11,1)</f>
        <v>Domestic Supply of Solid Fuels Step 1</v>
      </c>
      <c r="M11" s="119" t="str">
        <f>$E$2</f>
        <v>PJ</v>
      </c>
      <c r="N11" s="119" t="str">
        <f>$E$2&amp;"a"</f>
        <v>PJa</v>
      </c>
      <c r="O11" s="119"/>
      <c r="P11" s="119"/>
      <c r="Q11" s="119"/>
    </row>
    <row r="12" spans="2:18" ht="14">
      <c r="B12" s="11" t="str">
        <f>K12</f>
        <v>MINCOA2</v>
      </c>
      <c r="C12" s="11"/>
      <c r="D12" s="11" t="str">
        <f>$K$5</f>
        <v>COA</v>
      </c>
      <c r="E12" s="99">
        <v>160000</v>
      </c>
      <c r="F12" s="70">
        <v>2.5</v>
      </c>
      <c r="G12" s="71">
        <f>'EB2'!$D$5*'EB2'!D22</f>
        <v>708.60632499999997</v>
      </c>
      <c r="I12" s="119"/>
      <c r="J12" s="119"/>
      <c r="K12" s="119" t="str">
        <f>$I$11&amp;$C$2&amp;2</f>
        <v>MINCOA2</v>
      </c>
      <c r="L12" s="122" t="str">
        <f>"Domestic Supply of "&amp;$D$2&amp; " Step "&amp;RIGHT(K12,1)</f>
        <v>Domestic Supply of Solid Fuels Step 2</v>
      </c>
      <c r="M12" s="119" t="str">
        <f>$E$2</f>
        <v>PJ</v>
      </c>
      <c r="N12" s="119" t="str">
        <f>$E$2&amp;"a"</f>
        <v>PJa</v>
      </c>
      <c r="O12" s="119"/>
      <c r="P12" s="119"/>
      <c r="Q12" s="119"/>
      <c r="R12" s="5"/>
    </row>
    <row r="13" spans="2:18" ht="14">
      <c r="B13" s="11" t="str">
        <f>K13</f>
        <v>MINCOA3</v>
      </c>
      <c r="C13" s="11"/>
      <c r="D13" s="11" t="str">
        <f>$K$5</f>
        <v>COA</v>
      </c>
      <c r="E13" s="99">
        <v>0</v>
      </c>
      <c r="F13" s="70">
        <v>3</v>
      </c>
      <c r="G13" s="100">
        <v>0</v>
      </c>
      <c r="I13" s="119"/>
      <c r="J13" s="119"/>
      <c r="K13" s="119" t="str">
        <f>$I$11&amp;$C$2&amp;3</f>
        <v>MINCOA3</v>
      </c>
      <c r="L13" s="122" t="str">
        <f>"Domestic Supply of "&amp;$D$2&amp; " Step "&amp;RIGHT(K13,1)</f>
        <v>Domestic Supply of Solid Fuels Step 3</v>
      </c>
      <c r="M13" s="119" t="str">
        <f>$E$2</f>
        <v>PJ</v>
      </c>
      <c r="N13" s="119" t="str">
        <f>$E$2&amp;"a"</f>
        <v>PJa</v>
      </c>
      <c r="O13" s="119"/>
      <c r="P13" s="119"/>
      <c r="Q13" s="119"/>
    </row>
    <row r="14" spans="2:18" ht="14">
      <c r="B14" s="11" t="str">
        <f>K14</f>
        <v>IMPCOA1</v>
      </c>
      <c r="C14" s="11"/>
      <c r="D14" s="11" t="str">
        <f>$K$5</f>
        <v>COA</v>
      </c>
      <c r="E14" s="10"/>
      <c r="F14" s="70">
        <v>2.75</v>
      </c>
      <c r="G14" s="71">
        <f>'EB2'!D6</f>
        <v>2261.9348499999996</v>
      </c>
      <c r="I14" s="119" t="str">
        <f>'EB2'!$B$6</f>
        <v>IMP</v>
      </c>
      <c r="J14" s="119"/>
      <c r="K14" s="119" t="str">
        <f>$I$14&amp;$C$2&amp;1</f>
        <v>IMPCOA1</v>
      </c>
      <c r="L14" s="122" t="str">
        <f>"Import of "&amp;$D$2&amp; " Step "&amp;RIGHT(K14,1)</f>
        <v>Import of Solid Fuels Step 1</v>
      </c>
      <c r="M14" s="119" t="str">
        <f>$E$2</f>
        <v>PJ</v>
      </c>
      <c r="N14" s="119" t="str">
        <f>$E$2&amp;"a"</f>
        <v>PJa</v>
      </c>
      <c r="O14" s="119"/>
      <c r="P14" s="119"/>
      <c r="Q14" s="119"/>
    </row>
    <row r="15" spans="2:18" s="5" customFormat="1" ht="14">
      <c r="B15" s="11" t="str">
        <f>K15</f>
        <v>EXPCOA1</v>
      </c>
      <c r="C15" s="11" t="str">
        <f>$K$5</f>
        <v>COA</v>
      </c>
      <c r="E15" s="10"/>
      <c r="F15" s="70">
        <v>2.75</v>
      </c>
      <c r="G15" s="71">
        <f>-'EB2'!D7</f>
        <v>401.47415000000001</v>
      </c>
      <c r="I15" s="119" t="str">
        <f>'EB2'!B7</f>
        <v>EXP</v>
      </c>
      <c r="J15" s="119"/>
      <c r="K15" s="119" t="str">
        <f>$I$15&amp;$C$2&amp;1</f>
        <v>EXPCOA1</v>
      </c>
      <c r="L15" s="122" t="str">
        <f>"Export of "&amp;$D$2&amp; " Step "&amp;RIGHT(K15,1)</f>
        <v>Export of Solid Fuels Step 1</v>
      </c>
      <c r="M15" s="119" t="str">
        <f>$E$2</f>
        <v>PJ</v>
      </c>
      <c r="N15" s="119" t="str">
        <f>$E$2&amp;"a"</f>
        <v>PJa</v>
      </c>
      <c r="O15" s="119"/>
      <c r="P15" s="119"/>
      <c r="Q15" s="119"/>
      <c r="R15"/>
    </row>
    <row r="16" spans="2:18" s="5" customFormat="1">
      <c r="B16" s="1"/>
    </row>
    <row r="17" spans="2:18" s="5" customFormat="1"/>
    <row r="18" spans="2:18" s="5" customFormat="1"/>
    <row r="19" spans="2:18">
      <c r="B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</row>
    <row r="20" spans="2:18">
      <c r="B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2:18">
      <c r="B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2:18" s="1" customFormat="1">
      <c r="B22" s="67"/>
      <c r="C22" s="1" t="s">
        <v>124</v>
      </c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</row>
    <row r="23" spans="2:18">
      <c r="B23" s="73"/>
      <c r="C23" s="1" t="s">
        <v>125</v>
      </c>
      <c r="R23" s="1"/>
    </row>
    <row r="25" spans="2:18" s="5" customFormat="1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</row>
    <row r="26" spans="2:18" s="5" customFormat="1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</row>
    <row r="27" spans="2:18" s="5" customFormat="1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</row>
    <row r="28" spans="2:18" s="5" customFormat="1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</row>
    <row r="29" spans="2:18" s="5" customFormat="1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</row>
    <row r="30" spans="2:18" s="5" customFormat="1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</row>
    <row r="31" spans="2:18" s="5" customFormat="1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</row>
    <row r="32" spans="2:18">
      <c r="R32" s="5"/>
    </row>
  </sheetData>
  <pageMargins left="0.75" right="0.75" top="1" bottom="1" header="0.5" footer="0.5"/>
  <pageSetup orientation="portrait" horizontalDpi="4294967292"/>
  <headerFooter alignWithMargins="0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R34"/>
  <sheetViews>
    <sheetView zoomScaleNormal="100" workbookViewId="0">
      <selection activeCell="E1" sqref="E1:F65536"/>
    </sheetView>
  </sheetViews>
  <sheetFormatPr baseColWidth="10" defaultRowHeight="13"/>
  <cols>
    <col min="1" max="1" width="2" bestFit="1" customWidth="1"/>
    <col min="2" max="2" width="13.33203125" bestFit="1" customWidth="1"/>
    <col min="3" max="3" width="11.33203125" bestFit="1" customWidth="1"/>
    <col min="4" max="4" width="11.6640625" customWidth="1"/>
    <col min="5" max="5" width="14.5" bestFit="1" customWidth="1"/>
    <col min="6" max="6" width="8.6640625" customWidth="1"/>
    <col min="7" max="7" width="14.33203125" customWidth="1"/>
    <col min="8" max="8" width="2" bestFit="1" customWidth="1"/>
    <col min="9" max="9" width="13.6640625" customWidth="1"/>
    <col min="10" max="10" width="7.1640625" customWidth="1"/>
    <col min="11" max="11" width="11.5" bestFit="1" customWidth="1"/>
    <col min="12" max="12" width="35" bestFit="1" customWidth="1"/>
    <col min="13" max="13" width="6.6640625" customWidth="1"/>
    <col min="14" max="14" width="11.5" customWidth="1"/>
    <col min="15" max="15" width="13" customWidth="1"/>
    <col min="16" max="16" width="15.1640625" customWidth="1"/>
    <col min="17" max="17" width="7.5" bestFit="1" customWidth="1"/>
    <col min="18" max="256" width="8.83203125" customWidth="1"/>
  </cols>
  <sheetData>
    <row r="1" spans="2:18" ht="32">
      <c r="B1" s="33" t="s">
        <v>74</v>
      </c>
      <c r="C1" s="33" t="s">
        <v>75</v>
      </c>
      <c r="D1" s="33" t="s">
        <v>76</v>
      </c>
      <c r="E1" s="33" t="s">
        <v>78</v>
      </c>
      <c r="F1" s="33" t="s">
        <v>79</v>
      </c>
    </row>
    <row r="2" spans="2:18" ht="16">
      <c r="B2" s="15"/>
      <c r="C2" s="15" t="str">
        <f>'EB2'!E2</f>
        <v>GAS</v>
      </c>
      <c r="D2" s="15" t="str">
        <f>'EB2'!E3</f>
        <v>Natural Gas</v>
      </c>
      <c r="E2" s="15" t="str">
        <f>'EB2'!Z2</f>
        <v>PJ</v>
      </c>
      <c r="F2" s="15" t="str">
        <f>'EB2'!Y2</f>
        <v>M€2005</v>
      </c>
      <c r="I2" s="113" t="s">
        <v>14</v>
      </c>
      <c r="J2" s="113"/>
      <c r="K2" s="114"/>
      <c r="L2" s="114"/>
      <c r="M2" s="114"/>
      <c r="N2" s="114"/>
      <c r="O2" s="114"/>
      <c r="P2" s="114"/>
      <c r="Q2" s="114"/>
    </row>
    <row r="3" spans="2:18">
      <c r="I3" s="115" t="s">
        <v>7</v>
      </c>
      <c r="J3" s="116" t="s">
        <v>30</v>
      </c>
      <c r="K3" s="115" t="s">
        <v>0</v>
      </c>
      <c r="L3" s="115" t="s">
        <v>3</v>
      </c>
      <c r="M3" s="115" t="s">
        <v>4</v>
      </c>
      <c r="N3" s="115" t="s">
        <v>8</v>
      </c>
      <c r="O3" s="115" t="s">
        <v>9</v>
      </c>
      <c r="P3" s="115" t="s">
        <v>10</v>
      </c>
      <c r="Q3" s="115" t="s">
        <v>12</v>
      </c>
    </row>
    <row r="4" spans="2:18" ht="25" thickBot="1">
      <c r="C4" s="1"/>
      <c r="I4" s="117" t="s">
        <v>37</v>
      </c>
      <c r="J4" s="117" t="s">
        <v>31</v>
      </c>
      <c r="K4" s="117" t="s">
        <v>26</v>
      </c>
      <c r="L4" s="117" t="s">
        <v>27</v>
      </c>
      <c r="M4" s="117" t="s">
        <v>4</v>
      </c>
      <c r="N4" s="117" t="s">
        <v>40</v>
      </c>
      <c r="O4" s="117" t="s">
        <v>41</v>
      </c>
      <c r="P4" s="117" t="s">
        <v>28</v>
      </c>
      <c r="Q4" s="117" t="s">
        <v>29</v>
      </c>
    </row>
    <row r="5" spans="2:18">
      <c r="I5" s="118" t="s">
        <v>73</v>
      </c>
      <c r="J5" s="119"/>
      <c r="K5" s="118" t="str">
        <f>C2</f>
        <v>GAS</v>
      </c>
      <c r="L5" s="118" t="str">
        <f>D2</f>
        <v>Natural Gas</v>
      </c>
      <c r="M5" s="118" t="str">
        <f>$E$2</f>
        <v>PJ</v>
      </c>
      <c r="N5" s="118"/>
      <c r="O5" s="118"/>
      <c r="P5" s="118"/>
      <c r="Q5" s="118"/>
    </row>
    <row r="7" spans="2:18">
      <c r="D7" s="4" t="s">
        <v>13</v>
      </c>
      <c r="F7" s="4"/>
      <c r="I7" s="113" t="s">
        <v>15</v>
      </c>
      <c r="J7" s="113"/>
      <c r="K7" s="120"/>
      <c r="L7" s="120"/>
      <c r="M7" s="120"/>
      <c r="N7" s="120"/>
      <c r="O7" s="120"/>
      <c r="P7" s="120"/>
      <c r="Q7" s="120"/>
    </row>
    <row r="8" spans="2:18">
      <c r="B8" s="3" t="s">
        <v>1</v>
      </c>
      <c r="C8" s="22" t="s">
        <v>5</v>
      </c>
      <c r="D8" s="3" t="s">
        <v>6</v>
      </c>
      <c r="E8" s="86" t="s">
        <v>34</v>
      </c>
      <c r="F8" s="86" t="s">
        <v>35</v>
      </c>
      <c r="G8" s="86" t="s">
        <v>80</v>
      </c>
      <c r="I8" s="115" t="s">
        <v>11</v>
      </c>
      <c r="J8" s="116" t="s">
        <v>30</v>
      </c>
      <c r="K8" s="115" t="s">
        <v>1</v>
      </c>
      <c r="L8" s="115" t="s">
        <v>2</v>
      </c>
      <c r="M8" s="115" t="s">
        <v>16</v>
      </c>
      <c r="N8" s="115" t="s">
        <v>17</v>
      </c>
      <c r="O8" s="115" t="s">
        <v>18</v>
      </c>
      <c r="P8" s="115" t="s">
        <v>19</v>
      </c>
      <c r="Q8" s="115" t="s">
        <v>20</v>
      </c>
    </row>
    <row r="9" spans="2:18" s="5" customFormat="1" ht="25" thickBot="1">
      <c r="B9" s="53" t="s">
        <v>39</v>
      </c>
      <c r="C9" s="53" t="s">
        <v>32</v>
      </c>
      <c r="D9" s="53" t="s">
        <v>33</v>
      </c>
      <c r="E9" s="53" t="s">
        <v>36</v>
      </c>
      <c r="F9" s="53" t="s">
        <v>87</v>
      </c>
      <c r="G9" s="53" t="s">
        <v>86</v>
      </c>
      <c r="I9" s="117" t="s">
        <v>38</v>
      </c>
      <c r="J9" s="117" t="s">
        <v>31</v>
      </c>
      <c r="K9" s="117" t="s">
        <v>21</v>
      </c>
      <c r="L9" s="117" t="s">
        <v>22</v>
      </c>
      <c r="M9" s="117" t="s">
        <v>23</v>
      </c>
      <c r="N9" s="117" t="s">
        <v>24</v>
      </c>
      <c r="O9" s="117" t="s">
        <v>43</v>
      </c>
      <c r="P9" s="117" t="s">
        <v>42</v>
      </c>
      <c r="Q9" s="117" t="s">
        <v>25</v>
      </c>
    </row>
    <row r="10" spans="2:18" s="5" customFormat="1" ht="14" thickBot="1">
      <c r="B10" s="53" t="s">
        <v>85</v>
      </c>
      <c r="C10" s="18"/>
      <c r="D10" s="18"/>
      <c r="E10" s="18" t="str">
        <f>$E$2</f>
        <v>PJ</v>
      </c>
      <c r="F10" s="18" t="str">
        <f>$F$2&amp;"/"&amp;$E$2</f>
        <v>M€2005/PJ</v>
      </c>
      <c r="G10" s="18" t="str">
        <f>$E$2</f>
        <v>PJ</v>
      </c>
      <c r="I10" s="117" t="s">
        <v>81</v>
      </c>
      <c r="J10" s="121"/>
      <c r="K10" s="121"/>
      <c r="L10" s="121"/>
      <c r="M10" s="121"/>
      <c r="N10" s="121"/>
      <c r="O10" s="121"/>
      <c r="P10" s="121"/>
      <c r="Q10" s="121"/>
    </row>
    <row r="11" spans="2:18" s="5" customFormat="1" ht="14">
      <c r="B11" s="11" t="str">
        <f>K11</f>
        <v>MINGAS1</v>
      </c>
      <c r="C11" s="11"/>
      <c r="D11" s="11" t="str">
        <f>$K$5</f>
        <v>GAS</v>
      </c>
      <c r="E11" s="77">
        <v>15000</v>
      </c>
      <c r="F11" s="76">
        <v>3.6</v>
      </c>
      <c r="G11" s="72">
        <f>'EB2'!$E$5*'EB2'!E21</f>
        <v>2369.8490999999999</v>
      </c>
      <c r="I11" s="118" t="str">
        <f>'EB2'!$B$5</f>
        <v>MIN</v>
      </c>
      <c r="J11" s="119"/>
      <c r="K11" s="119" t="str">
        <f>$I$11&amp;$C$2&amp;1</f>
        <v>MINGAS1</v>
      </c>
      <c r="L11" s="122" t="str">
        <f>"Domestic Supply of "&amp;$D$2&amp; " Step "&amp;RIGHT(K11,1)</f>
        <v>Domestic Supply of Natural Gas Step 1</v>
      </c>
      <c r="M11" s="119" t="str">
        <f>$E$2</f>
        <v>PJ</v>
      </c>
      <c r="N11" s="119" t="str">
        <f>$E$2&amp;"a"</f>
        <v>PJa</v>
      </c>
      <c r="O11" s="119"/>
      <c r="P11" s="119"/>
      <c r="Q11" s="119"/>
    </row>
    <row r="12" spans="2:18" ht="14">
      <c r="B12" s="11" t="str">
        <f>K12</f>
        <v>MINGAS2</v>
      </c>
      <c r="C12" s="11"/>
      <c r="D12" s="11" t="str">
        <f>$K$5</f>
        <v>GAS</v>
      </c>
      <c r="E12" s="77">
        <v>20000</v>
      </c>
      <c r="F12" s="76">
        <v>4.1399999999999997</v>
      </c>
      <c r="G12" s="72">
        <f>'EB2'!$E$5*'EB2'!E22</f>
        <v>2369.8490999999999</v>
      </c>
      <c r="H12" s="5"/>
      <c r="I12" s="119"/>
      <c r="J12" s="119"/>
      <c r="K12" s="119" t="str">
        <f>$I$11&amp;$C$2&amp;2</f>
        <v>MINGAS2</v>
      </c>
      <c r="L12" s="122" t="str">
        <f>"Domestic Supply of "&amp;$D$2&amp; " Step "&amp;RIGHT(K12,1)</f>
        <v>Domestic Supply of Natural Gas Step 2</v>
      </c>
      <c r="M12" s="119" t="str">
        <f>$E$2</f>
        <v>PJ</v>
      </c>
      <c r="N12" s="119" t="str">
        <f>$E$2&amp;"a"</f>
        <v>PJa</v>
      </c>
      <c r="O12" s="119"/>
      <c r="P12" s="119"/>
      <c r="Q12" s="119"/>
      <c r="R12" s="5"/>
    </row>
    <row r="13" spans="2:18" ht="14">
      <c r="B13" s="11" t="str">
        <f>K13</f>
        <v>MINGAS3</v>
      </c>
      <c r="C13" s="11"/>
      <c r="D13" s="11" t="str">
        <f>$K$5</f>
        <v>GAS</v>
      </c>
      <c r="E13" s="77">
        <v>3000000</v>
      </c>
      <c r="F13" s="76">
        <v>5.4</v>
      </c>
      <c r="G13" s="17"/>
      <c r="I13" s="119"/>
      <c r="J13" s="119"/>
      <c r="K13" s="119" t="str">
        <f>$I$11&amp;$C$2&amp;3</f>
        <v>MINGAS3</v>
      </c>
      <c r="L13" s="122" t="str">
        <f>"Domestic Supply of "&amp;$D$2&amp; " Step "&amp;RIGHT(K13,1)</f>
        <v>Domestic Supply of Natural Gas Step 3</v>
      </c>
      <c r="M13" s="119" t="str">
        <f>$E$2</f>
        <v>PJ</v>
      </c>
      <c r="N13" s="119" t="str">
        <f>$E$2&amp;"a"</f>
        <v>PJa</v>
      </c>
      <c r="O13" s="119"/>
      <c r="P13" s="119"/>
      <c r="Q13" s="119"/>
    </row>
    <row r="14" spans="2:18" ht="14">
      <c r="B14" s="11" t="str">
        <f>K14</f>
        <v>IMPGAS1</v>
      </c>
      <c r="C14" s="11"/>
      <c r="D14" s="11" t="str">
        <f>$K$5</f>
        <v>GAS</v>
      </c>
      <c r="E14" s="5"/>
      <c r="F14" s="76">
        <v>4.5</v>
      </c>
      <c r="G14" s="17"/>
      <c r="I14" s="119" t="str">
        <f>'EB2'!$B$6</f>
        <v>IMP</v>
      </c>
      <c r="J14" s="119"/>
      <c r="K14" s="119" t="str">
        <f>$I$14&amp;$C$2&amp;1</f>
        <v>IMPGAS1</v>
      </c>
      <c r="L14" s="122" t="str">
        <f>"Import of "&amp;$D$2&amp; " Step "&amp;RIGHT(K14,1)</f>
        <v>Import of Natural Gas Step 1</v>
      </c>
      <c r="M14" s="119" t="str">
        <f>$E$2</f>
        <v>PJ</v>
      </c>
      <c r="N14" s="119" t="str">
        <f>$E$2&amp;"a"</f>
        <v>PJa</v>
      </c>
      <c r="O14" s="119"/>
      <c r="P14" s="119"/>
      <c r="Q14" s="119"/>
    </row>
    <row r="15" spans="2:18" s="5" customFormat="1" ht="14">
      <c r="B15" s="11" t="str">
        <f>K15</f>
        <v>EXPGAS1</v>
      </c>
      <c r="C15" s="11" t="str">
        <f>$K$5</f>
        <v>GAS</v>
      </c>
      <c r="D15" s="11"/>
      <c r="F15" s="76">
        <v>4.5</v>
      </c>
      <c r="G15" s="72">
        <f>-'EB2'!E7</f>
        <v>1509.7986000000001</v>
      </c>
      <c r="H15"/>
      <c r="I15" s="119" t="str">
        <f>'EB2'!B7</f>
        <v>EXP</v>
      </c>
      <c r="J15" s="119"/>
      <c r="K15" s="119" t="str">
        <f>$I$15&amp;$C$2&amp;1</f>
        <v>EXPGAS1</v>
      </c>
      <c r="L15" s="122" t="str">
        <f>"Export of "&amp;$D$2&amp; " Step "&amp;RIGHT(K15,1)</f>
        <v>Export of Natural Gas Step 1</v>
      </c>
      <c r="M15" s="119" t="str">
        <f>$E$2</f>
        <v>PJ</v>
      </c>
      <c r="N15" s="119" t="str">
        <f>$E$2&amp;"a"</f>
        <v>PJa</v>
      </c>
      <c r="O15" s="119"/>
      <c r="P15" s="119"/>
      <c r="Q15" s="119"/>
      <c r="R15"/>
    </row>
    <row r="16" spans="2:18" s="5" customFormat="1">
      <c r="B16" s="11"/>
      <c r="C16" s="11"/>
      <c r="F16" s="75"/>
      <c r="G16" s="75"/>
    </row>
    <row r="17" spans="2:18" s="5" customFormat="1">
      <c r="B17" s="1"/>
      <c r="F17" s="75"/>
    </row>
    <row r="18" spans="2:18" s="5" customFormat="1"/>
    <row r="19" spans="2:18" s="5" customFormat="1"/>
    <row r="20" spans="2:18">
      <c r="B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</row>
    <row r="21" spans="2:18">
      <c r="B21" s="5"/>
      <c r="I21" s="5"/>
      <c r="J21" s="5"/>
      <c r="K21" s="5"/>
      <c r="L21" s="5"/>
      <c r="M21" s="5"/>
      <c r="N21" s="5"/>
      <c r="O21" s="5"/>
      <c r="P21" s="5"/>
      <c r="Q21" s="5"/>
    </row>
    <row r="23" spans="2:18" s="1" customFormat="1">
      <c r="B23" s="67"/>
      <c r="C23" s="1" t="s">
        <v>124</v>
      </c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</row>
    <row r="24" spans="2:18">
      <c r="B24" s="73"/>
      <c r="C24" s="1" t="s">
        <v>125</v>
      </c>
      <c r="H24" s="1"/>
      <c r="R24" s="1"/>
    </row>
    <row r="26" spans="2:18" s="5" customFormat="1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</row>
    <row r="27" spans="2:18" s="5" customFormat="1">
      <c r="B27"/>
      <c r="C27"/>
      <c r="D27"/>
      <c r="E27"/>
      <c r="F27"/>
      <c r="G27"/>
      <c r="I27"/>
      <c r="J27"/>
      <c r="K27"/>
      <c r="L27"/>
      <c r="M27"/>
      <c r="N27"/>
      <c r="O27"/>
      <c r="P27"/>
      <c r="Q27"/>
    </row>
    <row r="28" spans="2:18" s="5" customFormat="1">
      <c r="B28"/>
      <c r="C28"/>
      <c r="D28"/>
      <c r="E28"/>
      <c r="F28"/>
      <c r="G28"/>
      <c r="I28"/>
      <c r="J28"/>
      <c r="K28"/>
      <c r="L28"/>
      <c r="M28"/>
      <c r="N28"/>
      <c r="O28"/>
      <c r="P28"/>
      <c r="Q28"/>
    </row>
    <row r="29" spans="2:18" s="5" customFormat="1">
      <c r="B29"/>
      <c r="C29"/>
      <c r="D29"/>
      <c r="E29"/>
      <c r="F29"/>
      <c r="G29"/>
      <c r="I29"/>
      <c r="J29"/>
      <c r="K29"/>
      <c r="L29"/>
      <c r="M29"/>
      <c r="N29"/>
      <c r="O29"/>
      <c r="P29"/>
      <c r="Q29"/>
    </row>
    <row r="30" spans="2:18" s="5" customFormat="1">
      <c r="B30"/>
      <c r="C30"/>
      <c r="D30"/>
      <c r="E30"/>
      <c r="F30"/>
      <c r="G30"/>
      <c r="I30"/>
      <c r="J30"/>
      <c r="K30"/>
      <c r="L30"/>
      <c r="M30"/>
      <c r="N30"/>
      <c r="O30"/>
      <c r="P30"/>
      <c r="Q30"/>
    </row>
    <row r="31" spans="2:18" s="5" customFormat="1">
      <c r="B31"/>
      <c r="C31"/>
      <c r="D31"/>
      <c r="E31"/>
      <c r="F31"/>
      <c r="G31"/>
      <c r="I31"/>
      <c r="J31"/>
      <c r="K31"/>
      <c r="L31"/>
      <c r="M31"/>
      <c r="N31"/>
      <c r="O31"/>
      <c r="P31"/>
      <c r="Q31"/>
    </row>
    <row r="32" spans="2:18" s="5" customFormat="1">
      <c r="B32"/>
      <c r="C32"/>
      <c r="D32"/>
      <c r="E32"/>
      <c r="F32"/>
      <c r="G32"/>
      <c r="I32"/>
      <c r="J32"/>
      <c r="K32"/>
      <c r="L32"/>
      <c r="M32"/>
      <c r="N32"/>
      <c r="O32"/>
      <c r="P32"/>
      <c r="Q32"/>
    </row>
    <row r="33" spans="2:18" s="5" customFormat="1">
      <c r="B33"/>
      <c r="C33"/>
      <c r="D33"/>
      <c r="E33"/>
      <c r="F33"/>
      <c r="G33"/>
      <c r="I33"/>
      <c r="J33"/>
      <c r="K33"/>
      <c r="L33"/>
      <c r="M33"/>
      <c r="N33"/>
      <c r="O33"/>
      <c r="P33"/>
      <c r="Q33"/>
    </row>
    <row r="34" spans="2:18">
      <c r="H34" s="5"/>
      <c r="R34" s="5"/>
    </row>
  </sheetData>
  <pageMargins left="0.75" right="0.75" top="1" bottom="1" header="0.5" footer="0.5"/>
  <pageSetup orientation="portrait" horizontalDpi="4294967292"/>
  <headerFooter alignWithMargins="0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W34"/>
  <sheetViews>
    <sheetView zoomScaleNormal="100" workbookViewId="0">
      <selection activeCell="E1" sqref="E1:F65536"/>
    </sheetView>
  </sheetViews>
  <sheetFormatPr baseColWidth="10" defaultRowHeight="13"/>
  <cols>
    <col min="1" max="1" width="2" bestFit="1" customWidth="1"/>
    <col min="2" max="2" width="13.33203125" bestFit="1" customWidth="1"/>
    <col min="3" max="3" width="11.33203125" bestFit="1" customWidth="1"/>
    <col min="4" max="4" width="11.6640625" customWidth="1"/>
    <col min="5" max="5" width="14.5" bestFit="1" customWidth="1"/>
    <col min="6" max="6" width="8.1640625" customWidth="1"/>
    <col min="7" max="7" width="14.1640625" customWidth="1"/>
    <col min="8" max="8" width="2" bestFit="1" customWidth="1"/>
    <col min="9" max="9" width="13.6640625" customWidth="1"/>
    <col min="10" max="10" width="7.1640625" customWidth="1"/>
    <col min="11" max="11" width="11.5" bestFit="1" customWidth="1"/>
    <col min="12" max="12" width="35" bestFit="1" customWidth="1"/>
    <col min="13" max="13" width="6.5" customWidth="1"/>
    <col min="14" max="14" width="11.5" customWidth="1"/>
    <col min="15" max="15" width="13" customWidth="1"/>
    <col min="16" max="16" width="15.1640625" customWidth="1"/>
    <col min="17" max="17" width="7.5" bestFit="1" customWidth="1"/>
    <col min="18" max="256" width="8.83203125" customWidth="1"/>
  </cols>
  <sheetData>
    <row r="1" spans="2:23" ht="32">
      <c r="B1" s="33" t="s">
        <v>74</v>
      </c>
      <c r="C1" s="33" t="s">
        <v>75</v>
      </c>
      <c r="D1" s="33" t="s">
        <v>76</v>
      </c>
      <c r="E1" s="33" t="s">
        <v>78</v>
      </c>
      <c r="F1" s="33" t="s">
        <v>79</v>
      </c>
    </row>
    <row r="2" spans="2:23" ht="16">
      <c r="B2" s="15"/>
      <c r="C2" s="15" t="str">
        <f>'EB2'!F2</f>
        <v>OIL</v>
      </c>
      <c r="D2" s="15" t="str">
        <f>'EB2'!F3</f>
        <v>Crude Oil</v>
      </c>
      <c r="E2" s="15" t="str">
        <f>'EB2'!Z2</f>
        <v>PJ</v>
      </c>
      <c r="F2" s="15" t="str">
        <f>'EB2'!Y2</f>
        <v>M€2005</v>
      </c>
      <c r="I2" s="113" t="s">
        <v>14</v>
      </c>
      <c r="J2" s="113"/>
      <c r="K2" s="114"/>
      <c r="L2" s="114"/>
      <c r="M2" s="114"/>
      <c r="N2" s="114"/>
      <c r="O2" s="114"/>
      <c r="P2" s="114"/>
      <c r="Q2" s="114"/>
    </row>
    <row r="3" spans="2:23">
      <c r="I3" s="115" t="s">
        <v>7</v>
      </c>
      <c r="J3" s="116" t="s">
        <v>30</v>
      </c>
      <c r="K3" s="115" t="s">
        <v>0</v>
      </c>
      <c r="L3" s="115" t="s">
        <v>3</v>
      </c>
      <c r="M3" s="115" t="s">
        <v>4</v>
      </c>
      <c r="N3" s="115" t="s">
        <v>8</v>
      </c>
      <c r="O3" s="115" t="s">
        <v>9</v>
      </c>
      <c r="P3" s="115" t="s">
        <v>10</v>
      </c>
      <c r="Q3" s="115" t="s">
        <v>12</v>
      </c>
    </row>
    <row r="4" spans="2:23" ht="25" thickBot="1">
      <c r="C4" s="1"/>
      <c r="I4" s="117" t="s">
        <v>37</v>
      </c>
      <c r="J4" s="117" t="s">
        <v>31</v>
      </c>
      <c r="K4" s="117" t="s">
        <v>26</v>
      </c>
      <c r="L4" s="117" t="s">
        <v>27</v>
      </c>
      <c r="M4" s="117" t="s">
        <v>4</v>
      </c>
      <c r="N4" s="117" t="s">
        <v>40</v>
      </c>
      <c r="O4" s="117" t="s">
        <v>41</v>
      </c>
      <c r="P4" s="117" t="s">
        <v>28</v>
      </c>
      <c r="Q4" s="117" t="s">
        <v>29</v>
      </c>
      <c r="T4" s="5"/>
      <c r="U4" s="5"/>
    </row>
    <row r="5" spans="2:23">
      <c r="I5" s="118" t="s">
        <v>73</v>
      </c>
      <c r="J5" s="119"/>
      <c r="K5" s="118" t="str">
        <f>C2</f>
        <v>OIL</v>
      </c>
      <c r="L5" s="118" t="str">
        <f>D2</f>
        <v>Crude Oil</v>
      </c>
      <c r="M5" s="118" t="str">
        <f>$E$2</f>
        <v>PJ</v>
      </c>
      <c r="N5" s="118"/>
      <c r="O5" s="118"/>
      <c r="P5" s="118"/>
      <c r="Q5" s="118"/>
      <c r="S5" s="5"/>
      <c r="T5" s="5"/>
      <c r="U5" s="5"/>
      <c r="V5" s="5"/>
      <c r="W5" s="5"/>
    </row>
    <row r="6" spans="2:23">
      <c r="S6" s="5"/>
      <c r="T6" s="5"/>
      <c r="U6" s="5"/>
      <c r="V6" s="5"/>
      <c r="W6" s="5"/>
    </row>
    <row r="7" spans="2:23">
      <c r="D7" s="4" t="s">
        <v>13</v>
      </c>
      <c r="F7" s="4"/>
      <c r="I7" s="113" t="s">
        <v>15</v>
      </c>
      <c r="J7" s="113"/>
      <c r="K7" s="120"/>
      <c r="L7" s="120"/>
      <c r="M7" s="120"/>
      <c r="N7" s="120"/>
      <c r="O7" s="120"/>
      <c r="P7" s="120"/>
      <c r="Q7" s="120"/>
      <c r="V7" s="5"/>
      <c r="W7" s="5"/>
    </row>
    <row r="8" spans="2:23">
      <c r="B8" s="3" t="s">
        <v>1</v>
      </c>
      <c r="C8" s="22" t="s">
        <v>5</v>
      </c>
      <c r="D8" s="3" t="s">
        <v>6</v>
      </c>
      <c r="E8" s="86" t="s">
        <v>34</v>
      </c>
      <c r="F8" s="86" t="s">
        <v>35</v>
      </c>
      <c r="G8" s="86" t="s">
        <v>80</v>
      </c>
      <c r="I8" s="115" t="s">
        <v>11</v>
      </c>
      <c r="J8" s="116" t="s">
        <v>30</v>
      </c>
      <c r="K8" s="115" t="s">
        <v>1</v>
      </c>
      <c r="L8" s="115" t="s">
        <v>2</v>
      </c>
      <c r="M8" s="115" t="s">
        <v>16</v>
      </c>
      <c r="N8" s="115" t="s">
        <v>17</v>
      </c>
      <c r="O8" s="115" t="s">
        <v>18</v>
      </c>
      <c r="P8" s="115" t="s">
        <v>19</v>
      </c>
      <c r="Q8" s="115" t="s">
        <v>20</v>
      </c>
    </row>
    <row r="9" spans="2:23" ht="25" thickBot="1">
      <c r="B9" s="53" t="s">
        <v>39</v>
      </c>
      <c r="C9" s="53" t="s">
        <v>32</v>
      </c>
      <c r="D9" s="53" t="s">
        <v>33</v>
      </c>
      <c r="E9" s="53" t="s">
        <v>36</v>
      </c>
      <c r="F9" s="53" t="s">
        <v>87</v>
      </c>
      <c r="G9" s="53" t="s">
        <v>86</v>
      </c>
      <c r="H9" s="5"/>
      <c r="I9" s="117" t="s">
        <v>38</v>
      </c>
      <c r="J9" s="117" t="s">
        <v>31</v>
      </c>
      <c r="K9" s="117" t="s">
        <v>21</v>
      </c>
      <c r="L9" s="117" t="s">
        <v>22</v>
      </c>
      <c r="M9" s="117" t="s">
        <v>23</v>
      </c>
      <c r="N9" s="117" t="s">
        <v>24</v>
      </c>
      <c r="O9" s="117" t="s">
        <v>43</v>
      </c>
      <c r="P9" s="117" t="s">
        <v>42</v>
      </c>
      <c r="Q9" s="117" t="s">
        <v>25</v>
      </c>
    </row>
    <row r="10" spans="2:23" s="5" customFormat="1" ht="14" thickBot="1">
      <c r="B10" s="53" t="s">
        <v>85</v>
      </c>
      <c r="C10" s="18"/>
      <c r="D10" s="18"/>
      <c r="E10" s="18" t="str">
        <f>$E$2</f>
        <v>PJ</v>
      </c>
      <c r="F10" s="18" t="str">
        <f>$F$2&amp;"/"&amp;$E$2</f>
        <v>M€2005/PJ</v>
      </c>
      <c r="G10" s="18" t="str">
        <f>$E$2</f>
        <v>PJ</v>
      </c>
      <c r="I10" s="117" t="s">
        <v>81</v>
      </c>
      <c r="J10" s="121"/>
      <c r="K10" s="121"/>
      <c r="L10" s="121"/>
      <c r="M10" s="121"/>
      <c r="N10" s="121"/>
      <c r="O10" s="121"/>
      <c r="P10" s="121"/>
      <c r="Q10" s="121"/>
      <c r="R10"/>
      <c r="V10"/>
      <c r="W10"/>
    </row>
    <row r="11" spans="2:23" s="5" customFormat="1" ht="14">
      <c r="B11" s="11" t="str">
        <f>K11</f>
        <v>MINOIL1</v>
      </c>
      <c r="C11" s="11"/>
      <c r="D11" s="11" t="str">
        <f>$K$5</f>
        <v>OIL</v>
      </c>
      <c r="E11" s="67">
        <v>12000</v>
      </c>
      <c r="F11" s="76">
        <v>6.4</v>
      </c>
      <c r="G11" s="72">
        <f>'EB2'!$F$5*'EB2'!F21</f>
        <v>2149.0016000000001</v>
      </c>
      <c r="I11" s="118" t="str">
        <f>'EB2'!$B$5</f>
        <v>MIN</v>
      </c>
      <c r="J11" s="119"/>
      <c r="K11" s="119" t="str">
        <f>$I$11&amp;$C$2&amp;1</f>
        <v>MINOIL1</v>
      </c>
      <c r="L11" s="122" t="str">
        <f>"Domestic Supply of "&amp;$D$2&amp; " Step "&amp;RIGHT(K11,1)</f>
        <v>Domestic Supply of Crude Oil Step 1</v>
      </c>
      <c r="M11" s="119" t="str">
        <f>$E$2</f>
        <v>PJ</v>
      </c>
      <c r="N11" s="119" t="str">
        <f>$E$2&amp;"a"</f>
        <v>PJa</v>
      </c>
      <c r="O11" s="119"/>
      <c r="P11" s="119"/>
      <c r="Q11" s="119"/>
    </row>
    <row r="12" spans="2:23" s="5" customFormat="1" ht="14">
      <c r="B12" s="11" t="str">
        <f>K12</f>
        <v>MINOIL2</v>
      </c>
      <c r="C12" s="11"/>
      <c r="D12" s="11" t="str">
        <f>$K$5</f>
        <v>OIL</v>
      </c>
      <c r="E12" s="67">
        <v>10000</v>
      </c>
      <c r="F12" s="76">
        <v>7.3599999999999994</v>
      </c>
      <c r="G12" s="72">
        <f>'EB2'!$F$5*'EB2'!F22</f>
        <v>537.25040000000001</v>
      </c>
      <c r="I12" s="119"/>
      <c r="J12" s="119"/>
      <c r="K12" s="119" t="str">
        <f>$I$11&amp;$C$2&amp;2</f>
        <v>MINOIL2</v>
      </c>
      <c r="L12" s="122" t="str">
        <f>"Domestic Supply of "&amp;$D$2&amp; " Step "&amp;RIGHT(K12,1)</f>
        <v>Domestic Supply of Crude Oil Step 2</v>
      </c>
      <c r="M12" s="119" t="str">
        <f>$E$2</f>
        <v>PJ</v>
      </c>
      <c r="N12" s="119" t="str">
        <f>$E$2&amp;"a"</f>
        <v>PJa</v>
      </c>
      <c r="O12" s="119"/>
      <c r="P12" s="119"/>
      <c r="Q12" s="119"/>
    </row>
    <row r="13" spans="2:23" ht="14">
      <c r="B13" s="11" t="str">
        <f>K13</f>
        <v>MINOIL3</v>
      </c>
      <c r="C13" s="11"/>
      <c r="D13" s="11" t="str">
        <f>$K$5</f>
        <v>OIL</v>
      </c>
      <c r="E13" s="67">
        <v>1200000</v>
      </c>
      <c r="F13" s="76">
        <v>9.6000000000000014</v>
      </c>
      <c r="G13" s="16"/>
      <c r="I13" s="119"/>
      <c r="J13" s="119"/>
      <c r="K13" s="119" t="str">
        <f>$I$11&amp;$C$2&amp;3</f>
        <v>MINOIL3</v>
      </c>
      <c r="L13" s="122" t="str">
        <f>"Domestic Supply of "&amp;$D$2&amp; " Step "&amp;RIGHT(K13,1)</f>
        <v>Domestic Supply of Crude Oil Step 3</v>
      </c>
      <c r="M13" s="119" t="str">
        <f>$E$2</f>
        <v>PJ</v>
      </c>
      <c r="N13" s="119" t="str">
        <f>$E$2&amp;"a"</f>
        <v>PJa</v>
      </c>
      <c r="O13" s="119"/>
      <c r="P13" s="119"/>
      <c r="Q13" s="119"/>
      <c r="R13" s="5"/>
      <c r="S13" s="5"/>
      <c r="T13" s="5"/>
      <c r="U13" s="5"/>
      <c r="V13" s="5"/>
      <c r="W13" s="5"/>
    </row>
    <row r="14" spans="2:23" ht="14">
      <c r="B14" s="11" t="str">
        <f>K14</f>
        <v>IMPOIL1</v>
      </c>
      <c r="C14" s="11"/>
      <c r="D14" s="11" t="str">
        <f>$K$5</f>
        <v>OIL</v>
      </c>
      <c r="E14" s="5"/>
      <c r="F14" s="76">
        <v>8</v>
      </c>
      <c r="G14" s="16"/>
      <c r="I14" s="119" t="str">
        <f>'EB2'!$B$6</f>
        <v>IMP</v>
      </c>
      <c r="J14" s="119"/>
      <c r="K14" s="119" t="str">
        <f>$I$14&amp;$C$2&amp;1</f>
        <v>IMPOIL1</v>
      </c>
      <c r="L14" s="122" t="str">
        <f>"Import of "&amp;$D$2&amp; " Step "&amp;RIGHT(K14,1)</f>
        <v>Import of Crude Oil Step 1</v>
      </c>
      <c r="M14" s="119" t="str">
        <f>$E$2</f>
        <v>PJ</v>
      </c>
      <c r="N14" s="119" t="str">
        <f>$E$2&amp;"a"</f>
        <v>PJa</v>
      </c>
      <c r="O14" s="119"/>
      <c r="P14" s="119"/>
      <c r="Q14" s="119"/>
      <c r="S14" s="5"/>
      <c r="T14" s="5"/>
      <c r="U14" s="5"/>
      <c r="V14" s="5"/>
      <c r="W14" s="5"/>
    </row>
    <row r="15" spans="2:23" ht="14">
      <c r="B15" s="11" t="str">
        <f>K15</f>
        <v>EXPOIL1</v>
      </c>
      <c r="C15" s="11" t="str">
        <f>$K$5</f>
        <v>OIL</v>
      </c>
      <c r="D15" s="11"/>
      <c r="E15" s="5"/>
      <c r="F15" s="76">
        <v>8</v>
      </c>
      <c r="G15" s="71">
        <f>-'EB2'!F7</f>
        <v>1648.4854999999998</v>
      </c>
      <c r="I15" s="119" t="str">
        <f>'EB2'!B7</f>
        <v>EXP</v>
      </c>
      <c r="J15" s="119"/>
      <c r="K15" s="119" t="str">
        <f>$I$15&amp;$C$2&amp;1</f>
        <v>EXPOIL1</v>
      </c>
      <c r="L15" s="122" t="str">
        <f>"Export of "&amp;$D$2&amp; " Step "&amp;RIGHT(K15,1)</f>
        <v>Export of Crude Oil Step 1</v>
      </c>
      <c r="M15" s="119" t="str">
        <f>$E$2</f>
        <v>PJ</v>
      </c>
      <c r="N15" s="119" t="str">
        <f>$E$2&amp;"a"</f>
        <v>PJa</v>
      </c>
      <c r="O15" s="119"/>
      <c r="P15" s="119"/>
      <c r="Q15" s="119"/>
      <c r="V15" s="5"/>
      <c r="W15" s="5"/>
    </row>
    <row r="16" spans="2:23" s="5" customFormat="1">
      <c r="B16" s="11"/>
      <c r="C16" s="11"/>
      <c r="F16" s="75"/>
      <c r="R16"/>
      <c r="T16"/>
      <c r="U16"/>
      <c r="V16"/>
      <c r="W16"/>
    </row>
    <row r="17" spans="2:23" s="5" customFormat="1">
      <c r="B17" s="1"/>
      <c r="F17" s="75"/>
      <c r="S17"/>
      <c r="T17"/>
      <c r="U17"/>
      <c r="V17"/>
      <c r="W17"/>
    </row>
    <row r="18" spans="2:23" s="5" customFormat="1">
      <c r="S18"/>
      <c r="T18" s="1"/>
      <c r="U18" s="1"/>
      <c r="V18"/>
      <c r="W18"/>
    </row>
    <row r="19" spans="2:23" s="5" customFormat="1">
      <c r="S19" s="1"/>
      <c r="T19"/>
      <c r="U19"/>
      <c r="V19" s="1"/>
      <c r="W19" s="1"/>
    </row>
    <row r="20" spans="2:23" s="5" customFormat="1">
      <c r="C20"/>
      <c r="D20"/>
      <c r="E20"/>
      <c r="F20"/>
      <c r="G20"/>
      <c r="S20"/>
      <c r="T20"/>
      <c r="U20"/>
      <c r="V20"/>
      <c r="W20"/>
    </row>
    <row r="21" spans="2:23" s="5" customFormat="1">
      <c r="C21"/>
      <c r="D21"/>
      <c r="E21"/>
      <c r="F21"/>
      <c r="G21"/>
      <c r="H21"/>
      <c r="S21"/>
      <c r="T21"/>
      <c r="U21"/>
      <c r="V21"/>
      <c r="W21"/>
    </row>
    <row r="22" spans="2:23" s="5" customFormat="1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S22"/>
      <c r="T22"/>
      <c r="U22"/>
      <c r="V22"/>
      <c r="W22"/>
    </row>
    <row r="23" spans="2:23">
      <c r="B23" s="67"/>
      <c r="C23" s="1" t="s">
        <v>124</v>
      </c>
      <c r="R23" s="5"/>
    </row>
    <row r="24" spans="2:23">
      <c r="B24" s="73"/>
      <c r="C24" s="1" t="s">
        <v>125</v>
      </c>
      <c r="H24" s="1"/>
    </row>
    <row r="27" spans="2:23">
      <c r="H27" s="5"/>
    </row>
    <row r="28" spans="2:23">
      <c r="H28" s="5"/>
    </row>
    <row r="29" spans="2:23">
      <c r="H29" s="5"/>
    </row>
    <row r="30" spans="2:23">
      <c r="H30" s="5"/>
    </row>
    <row r="31" spans="2:23">
      <c r="H31" s="5"/>
    </row>
    <row r="32" spans="2:23">
      <c r="H32" s="5"/>
    </row>
    <row r="33" spans="8:8">
      <c r="H33" s="5"/>
    </row>
    <row r="34" spans="8:8">
      <c r="H34" s="5"/>
    </row>
  </sheetData>
  <pageMargins left="0.75" right="0.75" top="1" bottom="1" header="0.5" footer="0.5"/>
  <pageSetup orientation="portrait" horizontalDpi="4294967292"/>
  <headerFooter alignWithMargins="0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Q40"/>
  <sheetViews>
    <sheetView zoomScaleNormal="100" workbookViewId="0">
      <selection activeCell="E1" sqref="E1:G65536"/>
    </sheetView>
  </sheetViews>
  <sheetFormatPr baseColWidth="10" defaultColWidth="8.83203125" defaultRowHeight="13"/>
  <cols>
    <col min="1" max="1" width="2" style="35" bestFit="1" customWidth="1"/>
    <col min="2" max="2" width="13.83203125" customWidth="1"/>
    <col min="3" max="3" width="11.83203125" bestFit="1" customWidth="1"/>
    <col min="4" max="4" width="14" bestFit="1" customWidth="1"/>
    <col min="5" max="5" width="8.5" bestFit="1" customWidth="1"/>
    <col min="6" max="6" width="13.33203125" customWidth="1"/>
    <col min="7" max="7" width="2" style="35" bestFit="1" customWidth="1"/>
    <col min="8" max="8" width="11.83203125" bestFit="1" customWidth="1"/>
    <col min="9" max="9" width="7.5" bestFit="1" customWidth="1"/>
    <col min="10" max="10" width="12.1640625" bestFit="1" customWidth="1"/>
    <col min="11" max="11" width="40.5" customWidth="1"/>
    <col min="12" max="12" width="6.1640625" bestFit="1" customWidth="1"/>
    <col min="13" max="13" width="10.5" bestFit="1" customWidth="1"/>
    <col min="14" max="15" width="13.5" customWidth="1"/>
    <col min="16" max="16" width="8" bestFit="1" customWidth="1"/>
    <col min="17" max="16384" width="8.83203125" style="35"/>
  </cols>
  <sheetData>
    <row r="1" spans="2:17" ht="32">
      <c r="B1" s="33" t="s">
        <v>74</v>
      </c>
      <c r="C1" s="33" t="s">
        <v>75</v>
      </c>
      <c r="D1" s="33" t="s">
        <v>76</v>
      </c>
      <c r="E1" s="33" t="s">
        <v>78</v>
      </c>
      <c r="F1" s="33" t="s">
        <v>79</v>
      </c>
    </row>
    <row r="2" spans="2:17" ht="16">
      <c r="B2" s="15"/>
      <c r="C2" s="15" t="str">
        <f>'EB2'!O2</f>
        <v>BIO</v>
      </c>
      <c r="D2" s="15" t="str">
        <f>'EB2'!O3</f>
        <v>Biomass</v>
      </c>
      <c r="E2" s="15" t="str">
        <f>'EB2'!$Z$2</f>
        <v>PJ</v>
      </c>
      <c r="F2" s="15" t="str">
        <f>'EB2'!Y2</f>
        <v>M€2005</v>
      </c>
      <c r="H2" s="113" t="s">
        <v>14</v>
      </c>
      <c r="I2" s="113"/>
      <c r="J2" s="114"/>
      <c r="K2" s="114"/>
      <c r="L2" s="114"/>
      <c r="M2" s="114"/>
      <c r="N2" s="114"/>
      <c r="O2" s="114"/>
      <c r="P2" s="114"/>
    </row>
    <row r="3" spans="2:17" ht="16">
      <c r="C3" s="15" t="str">
        <f>'EB2'!P2</f>
        <v>HYD</v>
      </c>
      <c r="D3" s="15" t="str">
        <f>'EB2'!P3</f>
        <v>Hydro power</v>
      </c>
      <c r="E3" s="15" t="str">
        <f>'EB2'!$Z$2</f>
        <v>PJ</v>
      </c>
      <c r="H3" s="115" t="s">
        <v>7</v>
      </c>
      <c r="I3" s="116" t="s">
        <v>30</v>
      </c>
      <c r="J3" s="115" t="s">
        <v>0</v>
      </c>
      <c r="K3" s="115" t="s">
        <v>3</v>
      </c>
      <c r="L3" s="115" t="s">
        <v>4</v>
      </c>
      <c r="M3" s="115" t="s">
        <v>8</v>
      </c>
      <c r="N3" s="115" t="s">
        <v>9</v>
      </c>
      <c r="O3" s="115" t="s">
        <v>10</v>
      </c>
      <c r="P3" s="115" t="s">
        <v>12</v>
      </c>
    </row>
    <row r="4" spans="2:17" ht="26" thickBot="1">
      <c r="B4" s="1"/>
      <c r="C4" s="15" t="str">
        <f>'EB2'!Q2</f>
        <v>WIN</v>
      </c>
      <c r="D4" s="15" t="str">
        <f>'EB2'!Q3</f>
        <v>Wind energy</v>
      </c>
      <c r="E4" s="15" t="str">
        <f>'EB2'!$Z$2</f>
        <v>PJ</v>
      </c>
      <c r="H4" s="117" t="s">
        <v>37</v>
      </c>
      <c r="I4" s="117" t="s">
        <v>31</v>
      </c>
      <c r="J4" s="117" t="s">
        <v>26</v>
      </c>
      <c r="K4" s="117" t="s">
        <v>27</v>
      </c>
      <c r="L4" s="117" t="s">
        <v>4</v>
      </c>
      <c r="M4" s="117" t="s">
        <v>40</v>
      </c>
      <c r="N4" s="117" t="s">
        <v>41</v>
      </c>
      <c r="O4" s="117" t="s">
        <v>28</v>
      </c>
      <c r="P4" s="117" t="s">
        <v>29</v>
      </c>
    </row>
    <row r="5" spans="2:17" ht="16">
      <c r="C5" s="15" t="str">
        <f>'EB2'!R2</f>
        <v>SOL</v>
      </c>
      <c r="D5" s="15" t="str">
        <f>'EB2'!R3</f>
        <v>Solar energy</v>
      </c>
      <c r="E5" s="15" t="str">
        <f>'EB2'!$Z$2</f>
        <v>PJ</v>
      </c>
      <c r="H5" s="118" t="s">
        <v>73</v>
      </c>
      <c r="I5" s="119"/>
      <c r="J5" s="118" t="str">
        <f t="shared" ref="J5:K8" si="0">C2</f>
        <v>BIO</v>
      </c>
      <c r="K5" s="118" t="str">
        <f t="shared" si="0"/>
        <v>Biomass</v>
      </c>
      <c r="L5" s="118" t="str">
        <f>$E$2</f>
        <v>PJ</v>
      </c>
      <c r="M5" s="118"/>
      <c r="N5" s="118"/>
      <c r="O5" s="118"/>
      <c r="P5" s="118"/>
    </row>
    <row r="6" spans="2:17" ht="16">
      <c r="B6" s="5"/>
      <c r="C6" s="13"/>
      <c r="D6" s="13"/>
      <c r="H6" s="118"/>
      <c r="I6" s="119"/>
      <c r="J6" s="118" t="str">
        <f t="shared" si="0"/>
        <v>HYD</v>
      </c>
      <c r="K6" s="118" t="str">
        <f t="shared" si="0"/>
        <v>Hydro power</v>
      </c>
      <c r="L6" s="118" t="str">
        <f>$E$2</f>
        <v>PJ</v>
      </c>
      <c r="M6" s="118"/>
      <c r="N6" s="118"/>
      <c r="O6" s="118"/>
      <c r="P6" s="118"/>
    </row>
    <row r="7" spans="2:17" ht="16">
      <c r="C7" s="13"/>
      <c r="D7" s="13"/>
      <c r="H7" s="118"/>
      <c r="I7" s="119"/>
      <c r="J7" s="118" t="str">
        <f t="shared" si="0"/>
        <v>WIN</v>
      </c>
      <c r="K7" s="118" t="str">
        <f t="shared" si="0"/>
        <v>Wind energy</v>
      </c>
      <c r="L7" s="118" t="str">
        <f>$E$2</f>
        <v>PJ</v>
      </c>
      <c r="M7" s="118"/>
      <c r="N7" s="118"/>
      <c r="O7" s="118"/>
      <c r="P7" s="118"/>
    </row>
    <row r="8" spans="2:17" ht="16">
      <c r="C8" s="13"/>
      <c r="D8" s="13"/>
      <c r="H8" s="118"/>
      <c r="I8" s="119"/>
      <c r="J8" s="118" t="str">
        <f t="shared" si="0"/>
        <v>SOL</v>
      </c>
      <c r="K8" s="118" t="str">
        <f t="shared" si="0"/>
        <v>Solar energy</v>
      </c>
      <c r="L8" s="118" t="str">
        <f>$E$2</f>
        <v>PJ</v>
      </c>
      <c r="M8" s="118"/>
      <c r="N8" s="118"/>
      <c r="O8" s="118"/>
      <c r="P8" s="118"/>
    </row>
    <row r="10" spans="2:17">
      <c r="D10" s="4" t="s">
        <v>13</v>
      </c>
      <c r="E10" s="4"/>
      <c r="H10" s="113" t="s">
        <v>15</v>
      </c>
      <c r="I10" s="113"/>
      <c r="J10" s="120"/>
      <c r="K10" s="120"/>
      <c r="L10" s="120"/>
      <c r="M10" s="120"/>
      <c r="N10" s="120"/>
      <c r="O10" s="120"/>
      <c r="P10" s="120"/>
    </row>
    <row r="11" spans="2:17">
      <c r="B11" s="3" t="s">
        <v>1</v>
      </c>
      <c r="C11" s="22" t="s">
        <v>5</v>
      </c>
      <c r="D11" s="3" t="s">
        <v>6</v>
      </c>
      <c r="E11" s="86" t="s">
        <v>35</v>
      </c>
      <c r="F11" s="86" t="s">
        <v>80</v>
      </c>
      <c r="H11" s="115" t="s">
        <v>11</v>
      </c>
      <c r="I11" s="116" t="s">
        <v>30</v>
      </c>
      <c r="J11" s="115" t="s">
        <v>1</v>
      </c>
      <c r="K11" s="115" t="s">
        <v>2</v>
      </c>
      <c r="L11" s="115" t="s">
        <v>16</v>
      </c>
      <c r="M11" s="115" t="s">
        <v>17</v>
      </c>
      <c r="N11" s="115" t="s">
        <v>18</v>
      </c>
      <c r="O11" s="115" t="s">
        <v>19</v>
      </c>
      <c r="P11" s="115" t="s">
        <v>20</v>
      </c>
    </row>
    <row r="12" spans="2:17" ht="25" thickBot="1">
      <c r="B12" s="53" t="s">
        <v>39</v>
      </c>
      <c r="C12" s="53" t="s">
        <v>32</v>
      </c>
      <c r="D12" s="53" t="s">
        <v>33</v>
      </c>
      <c r="E12" s="53" t="s">
        <v>87</v>
      </c>
      <c r="F12" s="53" t="s">
        <v>86</v>
      </c>
      <c r="H12" s="117" t="s">
        <v>38</v>
      </c>
      <c r="I12" s="117" t="s">
        <v>31</v>
      </c>
      <c r="J12" s="117" t="s">
        <v>21</v>
      </c>
      <c r="K12" s="117" t="s">
        <v>22</v>
      </c>
      <c r="L12" s="117" t="s">
        <v>23</v>
      </c>
      <c r="M12" s="117" t="s">
        <v>24</v>
      </c>
      <c r="N12" s="117" t="s">
        <v>43</v>
      </c>
      <c r="O12" s="117" t="s">
        <v>42</v>
      </c>
      <c r="P12" s="117" t="s">
        <v>25</v>
      </c>
    </row>
    <row r="13" spans="2:17" s="37" customFormat="1" ht="14" thickBot="1">
      <c r="B13" s="53" t="s">
        <v>85</v>
      </c>
      <c r="C13" s="18"/>
      <c r="D13" s="18"/>
      <c r="E13" s="18" t="str">
        <f>$F$2&amp;"/"&amp;$E$2</f>
        <v>M€2005/PJ</v>
      </c>
      <c r="F13" s="18" t="str">
        <f>$E$2</f>
        <v>PJ</v>
      </c>
      <c r="G13" s="35"/>
      <c r="H13" s="117" t="s">
        <v>81</v>
      </c>
      <c r="I13" s="121"/>
      <c r="J13" s="121"/>
      <c r="K13" s="121"/>
      <c r="L13" s="121"/>
      <c r="M13" s="121"/>
      <c r="N13" s="121"/>
      <c r="O13" s="121"/>
      <c r="P13" s="121"/>
      <c r="Q13" s="35"/>
    </row>
    <row r="14" spans="2:17" s="37" customFormat="1" ht="14">
      <c r="B14" s="11" t="str">
        <f>J14</f>
        <v>MINBIO1</v>
      </c>
      <c r="C14" s="11"/>
      <c r="D14" s="11" t="str">
        <f>J5</f>
        <v>BIO</v>
      </c>
      <c r="E14" s="76">
        <v>3.1049999999999995</v>
      </c>
      <c r="F14" s="5"/>
      <c r="H14" s="118" t="str">
        <f>'EB2'!$B$5</f>
        <v>MIN</v>
      </c>
      <c r="I14" s="119"/>
      <c r="J14" s="119" t="str">
        <f>$H$14&amp;C2&amp;1</f>
        <v>MINBIO1</v>
      </c>
      <c r="K14" s="122" t="str">
        <f>"Domestic Supply of "&amp;D2&amp; " Step "&amp;RIGHT(J14,1)</f>
        <v>Domestic Supply of Biomass Step 1</v>
      </c>
      <c r="L14" s="119" t="str">
        <f>$E$2</f>
        <v>PJ</v>
      </c>
      <c r="M14" s="119" t="str">
        <f>$E$2&amp;"a"</f>
        <v>PJa</v>
      </c>
      <c r="N14" s="119"/>
      <c r="O14" s="119"/>
      <c r="P14" s="119"/>
    </row>
    <row r="15" spans="2:17" s="37" customFormat="1" ht="14">
      <c r="B15" s="11" t="str">
        <f>J15</f>
        <v>MINHYD1</v>
      </c>
      <c r="C15" s="11"/>
      <c r="D15" s="11" t="str">
        <f>J6</f>
        <v>HYD</v>
      </c>
      <c r="E15" s="34"/>
      <c r="F15" s="5"/>
      <c r="H15" s="119"/>
      <c r="I15" s="119"/>
      <c r="J15" s="119" t="str">
        <f>$H$14&amp;C3&amp;1</f>
        <v>MINHYD1</v>
      </c>
      <c r="K15" s="122" t="str">
        <f>"Domestic Supply of "&amp;D3&amp; " Step "&amp;RIGHT(J15,1)</f>
        <v>Domestic Supply of Hydro power Step 1</v>
      </c>
      <c r="L15" s="119" t="str">
        <f>$E$2</f>
        <v>PJ</v>
      </c>
      <c r="M15" s="119" t="str">
        <f>$E$2&amp;"a"</f>
        <v>PJa</v>
      </c>
      <c r="N15" s="119"/>
      <c r="O15" s="119"/>
      <c r="P15" s="119"/>
    </row>
    <row r="16" spans="2:17" ht="14">
      <c r="B16" s="11" t="str">
        <f>J16</f>
        <v>MINWIN1</v>
      </c>
      <c r="C16" s="11"/>
      <c r="D16" s="11" t="str">
        <f>J7</f>
        <v>WIN</v>
      </c>
      <c r="E16" s="34"/>
      <c r="F16" s="5"/>
      <c r="G16" s="37"/>
      <c r="H16" s="119"/>
      <c r="I16" s="119"/>
      <c r="J16" s="119" t="str">
        <f>$H$14&amp;C4&amp;1</f>
        <v>MINWIN1</v>
      </c>
      <c r="K16" s="122" t="str">
        <f>"Domestic Supply of "&amp;D4&amp; " Step "&amp;RIGHT(J16,1)</f>
        <v>Domestic Supply of Wind energy Step 1</v>
      </c>
      <c r="L16" s="119" t="str">
        <f>$E$2</f>
        <v>PJ</v>
      </c>
      <c r="M16" s="119" t="str">
        <f>$E$2&amp;"a"</f>
        <v>PJa</v>
      </c>
      <c r="N16" s="119"/>
      <c r="O16" s="119"/>
      <c r="P16" s="119"/>
      <c r="Q16" s="37"/>
    </row>
    <row r="17" spans="2:17" ht="14">
      <c r="B17" s="11" t="str">
        <f>J17</f>
        <v>MINSOL1</v>
      </c>
      <c r="C17" s="11"/>
      <c r="D17" s="11" t="str">
        <f>J8</f>
        <v>SOL</v>
      </c>
      <c r="E17" s="34"/>
      <c r="F17" s="5"/>
      <c r="H17" s="119"/>
      <c r="I17" s="119"/>
      <c r="J17" s="119" t="str">
        <f>$H$14&amp;C5&amp;1</f>
        <v>MINSOL1</v>
      </c>
      <c r="K17" s="122" t="str">
        <f>"Domestic Supply of "&amp;D5&amp; " Step "&amp;RIGHT(J17,1)</f>
        <v>Domestic Supply of Solar energy Step 1</v>
      </c>
      <c r="L17" s="119" t="str">
        <f>$E$2</f>
        <v>PJ</v>
      </c>
      <c r="M17" s="119" t="str">
        <f>$E$2&amp;"a"</f>
        <v>PJa</v>
      </c>
      <c r="N17" s="119"/>
      <c r="O17" s="119"/>
      <c r="P17" s="119"/>
    </row>
    <row r="18" spans="2:17" s="37" customFormat="1">
      <c r="B18" s="11"/>
      <c r="C18" s="11"/>
      <c r="D18" s="5"/>
      <c r="E18" s="10"/>
      <c r="F18" s="17"/>
      <c r="G18" s="35"/>
      <c r="H18" s="5"/>
      <c r="I18" s="5"/>
      <c r="J18" s="5"/>
      <c r="K18" s="5"/>
      <c r="L18" s="5"/>
      <c r="M18" s="5"/>
      <c r="N18" s="5"/>
      <c r="O18" s="5"/>
      <c r="P18" s="5"/>
      <c r="Q18" s="35"/>
    </row>
    <row r="19" spans="2:17" s="37" customFormat="1">
      <c r="D19" s="5"/>
      <c r="E19" s="5"/>
      <c r="F19" s="5"/>
      <c r="H19" s="5"/>
      <c r="I19" s="5"/>
      <c r="J19" s="5"/>
      <c r="K19" s="5"/>
      <c r="L19" s="5"/>
      <c r="M19" s="5"/>
      <c r="N19" s="5"/>
      <c r="O19" s="5"/>
      <c r="P19" s="5"/>
    </row>
    <row r="20" spans="2:17">
      <c r="B20" s="67"/>
      <c r="C20" s="1" t="s">
        <v>124</v>
      </c>
      <c r="D20" s="5"/>
      <c r="E20" s="5"/>
      <c r="F20" s="5"/>
      <c r="G20" s="37"/>
      <c r="H20" s="5"/>
      <c r="I20" s="5"/>
      <c r="J20" s="5"/>
      <c r="K20" s="5"/>
      <c r="L20" s="5"/>
      <c r="M20" s="5"/>
      <c r="N20" s="5"/>
      <c r="O20" s="5"/>
      <c r="P20" s="5"/>
      <c r="Q20" s="37"/>
    </row>
    <row r="21" spans="2:17">
      <c r="B21" s="73"/>
      <c r="C21" s="1" t="s">
        <v>125</v>
      </c>
      <c r="D21" s="5"/>
      <c r="E21" s="5"/>
      <c r="F21" s="5"/>
      <c r="H21" s="5"/>
      <c r="I21" s="5"/>
      <c r="J21" s="5"/>
      <c r="K21" s="5"/>
      <c r="L21" s="5"/>
      <c r="M21" s="5"/>
      <c r="N21" s="5"/>
      <c r="O21" s="5"/>
      <c r="P21" s="5"/>
    </row>
    <row r="22" spans="2:17" s="36" customFormat="1" ht="19.5" customHeight="1">
      <c r="B22" s="5"/>
      <c r="C22" s="5"/>
      <c r="D22" s="5"/>
      <c r="E22" s="5"/>
      <c r="F22" s="5"/>
      <c r="G22" s="35"/>
      <c r="H22" s="5"/>
      <c r="I22" s="5"/>
      <c r="J22" s="5"/>
      <c r="K22" s="5"/>
      <c r="L22" s="5"/>
      <c r="M22" s="5"/>
      <c r="N22" s="5"/>
      <c r="O22" s="5"/>
      <c r="P22" s="5"/>
      <c r="Q22" s="35"/>
    </row>
    <row r="23" spans="2:17">
      <c r="B23" s="5"/>
      <c r="C23" s="5"/>
      <c r="D23" s="5"/>
      <c r="E23" s="5"/>
      <c r="F23" s="5"/>
      <c r="G23" s="36"/>
      <c r="H23" s="5"/>
      <c r="I23" s="5"/>
      <c r="J23" s="5"/>
      <c r="K23" s="5"/>
      <c r="L23" s="5"/>
      <c r="M23" s="5"/>
      <c r="N23" s="5"/>
      <c r="O23" s="5"/>
      <c r="P23" s="5"/>
      <c r="Q23" s="36"/>
    </row>
    <row r="24" spans="2:17">
      <c r="H24" s="5"/>
      <c r="I24" s="5"/>
      <c r="J24" s="5"/>
      <c r="K24" s="5"/>
      <c r="L24" s="5"/>
      <c r="M24" s="5"/>
      <c r="N24" s="5"/>
      <c r="O24" s="5"/>
      <c r="P24" s="5"/>
    </row>
    <row r="25" spans="2:17" s="37" customFormat="1">
      <c r="D25"/>
      <c r="E25"/>
      <c r="F25"/>
      <c r="G25" s="35"/>
      <c r="H25"/>
      <c r="I25"/>
      <c r="J25"/>
      <c r="K25"/>
      <c r="L25"/>
      <c r="M25"/>
      <c r="N25"/>
      <c r="O25"/>
      <c r="P25"/>
      <c r="Q25" s="35"/>
    </row>
    <row r="26" spans="2:17" s="37" customFormat="1">
      <c r="D26"/>
      <c r="E26"/>
      <c r="F26"/>
      <c r="H26"/>
      <c r="I26"/>
      <c r="J26"/>
      <c r="K26"/>
      <c r="L26"/>
      <c r="M26"/>
      <c r="N26"/>
      <c r="O26"/>
      <c r="P26"/>
    </row>
    <row r="27" spans="2:17" s="37" customFormat="1">
      <c r="B27"/>
      <c r="C27"/>
      <c r="D27"/>
      <c r="E27"/>
      <c r="F27"/>
      <c r="H27"/>
      <c r="I27"/>
      <c r="J27"/>
      <c r="K27"/>
      <c r="L27"/>
      <c r="M27"/>
      <c r="N27"/>
      <c r="O27"/>
      <c r="P27"/>
    </row>
    <row r="28" spans="2:17">
      <c r="G28" s="37"/>
      <c r="Q28" s="37"/>
    </row>
    <row r="32" spans="2:17">
      <c r="G32" s="38"/>
    </row>
    <row r="33" spans="7:7">
      <c r="G33" s="38"/>
    </row>
    <row r="34" spans="7:7">
      <c r="G34" s="38"/>
    </row>
    <row r="35" spans="7:7">
      <c r="G35" s="38"/>
    </row>
    <row r="36" spans="7:7">
      <c r="G36" s="38"/>
    </row>
    <row r="37" spans="7:7">
      <c r="G37" s="38"/>
    </row>
    <row r="38" spans="7:7">
      <c r="G38" s="38"/>
    </row>
    <row r="39" spans="7:7">
      <c r="G39" s="38"/>
    </row>
    <row r="40" spans="7:7">
      <c r="G40" s="38"/>
    </row>
  </sheetData>
  <pageMargins left="0.75" right="0.75" top="1" bottom="1" header="0.5" footer="0.5"/>
  <pageSetup orientation="portrait" horizontalDpi="4294967292"/>
  <headerFooter alignWithMargins="0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Q38"/>
  <sheetViews>
    <sheetView zoomScaleNormal="100" workbookViewId="0">
      <selection activeCell="E1" sqref="E1:G65536"/>
    </sheetView>
  </sheetViews>
  <sheetFormatPr baseColWidth="10" defaultColWidth="8.83203125" defaultRowHeight="13"/>
  <cols>
    <col min="1" max="1" width="2" style="35" bestFit="1" customWidth="1"/>
    <col min="2" max="2" width="13.83203125" customWidth="1"/>
    <col min="3" max="3" width="11.83203125" bestFit="1" customWidth="1"/>
    <col min="4" max="4" width="11" customWidth="1"/>
    <col min="5" max="5" width="8.5" bestFit="1" customWidth="1"/>
    <col min="6" max="6" width="13.33203125" customWidth="1"/>
    <col min="7" max="7" width="2" style="35" bestFit="1" customWidth="1"/>
    <col min="8" max="8" width="11.83203125" bestFit="1" customWidth="1"/>
    <col min="9" max="9" width="7.5" bestFit="1" customWidth="1"/>
    <col min="10" max="10" width="12.1640625" bestFit="1" customWidth="1"/>
    <col min="11" max="11" width="37.33203125" bestFit="1" customWidth="1"/>
    <col min="12" max="12" width="6.1640625" bestFit="1" customWidth="1"/>
    <col min="13" max="13" width="10.5" bestFit="1" customWidth="1"/>
    <col min="14" max="14" width="12.83203125" bestFit="1" customWidth="1"/>
    <col min="15" max="15" width="14.1640625" bestFit="1" customWidth="1"/>
    <col min="16" max="16" width="8" bestFit="1" customWidth="1"/>
    <col min="17" max="16384" width="8.83203125" style="35"/>
  </cols>
  <sheetData>
    <row r="1" spans="2:17" ht="32">
      <c r="B1" s="33" t="s">
        <v>74</v>
      </c>
      <c r="C1" s="33" t="s">
        <v>75</v>
      </c>
      <c r="D1" s="33" t="s">
        <v>76</v>
      </c>
      <c r="E1" s="33" t="s">
        <v>78</v>
      </c>
      <c r="F1" s="33" t="s">
        <v>79</v>
      </c>
    </row>
    <row r="2" spans="2:17" ht="16">
      <c r="B2" s="15"/>
      <c r="C2" s="15" t="str">
        <f>'EB2'!N2</f>
        <v>NUC</v>
      </c>
      <c r="D2" s="15" t="str">
        <f>'EB2'!N3</f>
        <v>Nuclear Energy</v>
      </c>
      <c r="E2" s="15" t="str">
        <f>'EB2'!Z2</f>
        <v>PJ</v>
      </c>
      <c r="F2" s="15" t="str">
        <f>'EB2'!Y2</f>
        <v>M€2005</v>
      </c>
      <c r="H2" s="113" t="s">
        <v>14</v>
      </c>
      <c r="I2" s="113"/>
      <c r="J2" s="114"/>
      <c r="K2" s="114"/>
      <c r="L2" s="114"/>
      <c r="M2" s="114"/>
      <c r="N2" s="114"/>
      <c r="O2" s="114"/>
      <c r="P2" s="114"/>
    </row>
    <row r="3" spans="2:17">
      <c r="E3" s="14"/>
      <c r="H3" s="115" t="s">
        <v>7</v>
      </c>
      <c r="I3" s="116" t="s">
        <v>30</v>
      </c>
      <c r="J3" s="115" t="s">
        <v>0</v>
      </c>
      <c r="K3" s="115" t="s">
        <v>3</v>
      </c>
      <c r="L3" s="115" t="s">
        <v>4</v>
      </c>
      <c r="M3" s="115" t="s">
        <v>8</v>
      </c>
      <c r="N3" s="115" t="s">
        <v>9</v>
      </c>
      <c r="O3" s="115" t="s">
        <v>10</v>
      </c>
      <c r="P3" s="115" t="s">
        <v>12</v>
      </c>
    </row>
    <row r="4" spans="2:17" ht="25" thickBot="1">
      <c r="B4" s="1"/>
      <c r="H4" s="117" t="s">
        <v>37</v>
      </c>
      <c r="I4" s="117" t="s">
        <v>31</v>
      </c>
      <c r="J4" s="117" t="s">
        <v>26</v>
      </c>
      <c r="K4" s="117" t="s">
        <v>27</v>
      </c>
      <c r="L4" s="117" t="s">
        <v>4</v>
      </c>
      <c r="M4" s="117" t="s">
        <v>40</v>
      </c>
      <c r="N4" s="117" t="s">
        <v>41</v>
      </c>
      <c r="O4" s="117" t="s">
        <v>28</v>
      </c>
      <c r="P4" s="117" t="s">
        <v>29</v>
      </c>
    </row>
    <row r="5" spans="2:17">
      <c r="H5" s="118" t="s">
        <v>73</v>
      </c>
      <c r="I5" s="119"/>
      <c r="J5" s="118" t="str">
        <f>C2</f>
        <v>NUC</v>
      </c>
      <c r="K5" s="118" t="str">
        <f>D2</f>
        <v>Nuclear Energy</v>
      </c>
      <c r="L5" s="118" t="str">
        <f>$E$2</f>
        <v>PJ</v>
      </c>
      <c r="M5" s="118"/>
      <c r="N5" s="118"/>
      <c r="O5" s="118"/>
      <c r="P5" s="118"/>
    </row>
    <row r="7" spans="2:17">
      <c r="D7" s="4" t="s">
        <v>13</v>
      </c>
      <c r="E7" s="4"/>
      <c r="H7" s="113" t="s">
        <v>15</v>
      </c>
      <c r="I7" s="113"/>
      <c r="J7" s="120"/>
      <c r="K7" s="120"/>
      <c r="L7" s="120"/>
      <c r="M7" s="120"/>
      <c r="N7" s="120"/>
      <c r="O7" s="120"/>
      <c r="P7" s="120"/>
    </row>
    <row r="8" spans="2:17">
      <c r="B8" s="3" t="s">
        <v>1</v>
      </c>
      <c r="C8" s="22" t="s">
        <v>5</v>
      </c>
      <c r="D8" s="3" t="s">
        <v>6</v>
      </c>
      <c r="E8" s="86" t="s">
        <v>35</v>
      </c>
      <c r="F8" s="86" t="s">
        <v>80</v>
      </c>
      <c r="H8" s="115" t="s">
        <v>11</v>
      </c>
      <c r="I8" s="116" t="s">
        <v>30</v>
      </c>
      <c r="J8" s="115" t="s">
        <v>1</v>
      </c>
      <c r="K8" s="115" t="s">
        <v>2</v>
      </c>
      <c r="L8" s="115" t="s">
        <v>16</v>
      </c>
      <c r="M8" s="115" t="s">
        <v>17</v>
      </c>
      <c r="N8" s="115" t="s">
        <v>18</v>
      </c>
      <c r="O8" s="115" t="s">
        <v>19</v>
      </c>
      <c r="P8" s="115" t="s">
        <v>20</v>
      </c>
    </row>
    <row r="9" spans="2:17" ht="25" thickBot="1">
      <c r="B9" s="53" t="s">
        <v>39</v>
      </c>
      <c r="C9" s="53" t="s">
        <v>32</v>
      </c>
      <c r="D9" s="53" t="s">
        <v>33</v>
      </c>
      <c r="E9" s="53" t="s">
        <v>87</v>
      </c>
      <c r="F9" s="53" t="s">
        <v>86</v>
      </c>
      <c r="H9" s="117" t="s">
        <v>38</v>
      </c>
      <c r="I9" s="117" t="s">
        <v>31</v>
      </c>
      <c r="J9" s="117" t="s">
        <v>21</v>
      </c>
      <c r="K9" s="117" t="s">
        <v>22</v>
      </c>
      <c r="L9" s="117" t="s">
        <v>23</v>
      </c>
      <c r="M9" s="117" t="s">
        <v>24</v>
      </c>
      <c r="N9" s="117" t="s">
        <v>43</v>
      </c>
      <c r="O9" s="117" t="s">
        <v>42</v>
      </c>
      <c r="P9" s="117" t="s">
        <v>25</v>
      </c>
    </row>
    <row r="10" spans="2:17" s="37" customFormat="1" ht="14" thickBot="1">
      <c r="B10" s="53" t="s">
        <v>85</v>
      </c>
      <c r="C10" s="18"/>
      <c r="D10" s="18"/>
      <c r="E10" s="18" t="str">
        <f>$F$2&amp;"/"&amp;$E$2</f>
        <v>M€2005/PJ</v>
      </c>
      <c r="F10" s="18" t="str">
        <f>$E$2</f>
        <v>PJ</v>
      </c>
      <c r="G10" s="35"/>
      <c r="H10" s="117" t="s">
        <v>81</v>
      </c>
      <c r="I10" s="121"/>
      <c r="J10" s="121"/>
      <c r="K10" s="121"/>
      <c r="L10" s="121"/>
      <c r="M10" s="121"/>
      <c r="N10" s="121"/>
      <c r="O10" s="121"/>
      <c r="P10" s="121"/>
      <c r="Q10" s="35"/>
    </row>
    <row r="11" spans="2:17" s="37" customFormat="1" ht="14">
      <c r="B11" s="11" t="str">
        <f>J11</f>
        <v>MINNUC1</v>
      </c>
      <c r="C11" s="11"/>
      <c r="D11" s="11" t="str">
        <f>$J$5</f>
        <v>NUC</v>
      </c>
      <c r="E11" s="34">
        <v>0.25</v>
      </c>
      <c r="F11" s="5"/>
      <c r="H11" s="118" t="str">
        <f>'EB2'!$B$5</f>
        <v>MIN</v>
      </c>
      <c r="I11" s="119"/>
      <c r="J11" s="119" t="str">
        <f>$H$11&amp;$C$2&amp;1</f>
        <v>MINNUC1</v>
      </c>
      <c r="K11" s="122" t="str">
        <f>"Domestic Supply of "&amp;$D$2&amp; " Step "&amp;RIGHT(J11,1)</f>
        <v>Domestic Supply of Nuclear Energy Step 1</v>
      </c>
      <c r="L11" s="119" t="str">
        <f>$E$2</f>
        <v>PJ</v>
      </c>
      <c r="M11" s="119" t="str">
        <f>$E$2&amp;"a"</f>
        <v>PJa</v>
      </c>
      <c r="N11" s="119"/>
      <c r="O11" s="119"/>
      <c r="P11" s="119"/>
    </row>
    <row r="12" spans="2:17" s="37" customFormat="1">
      <c r="B12" s="11"/>
      <c r="C12" s="11"/>
      <c r="D12" s="11"/>
      <c r="E12" s="34"/>
      <c r="F12" s="5"/>
      <c r="H12" s="5"/>
      <c r="I12" s="5"/>
      <c r="J12" s="5"/>
      <c r="K12" s="24"/>
      <c r="L12" s="5"/>
      <c r="M12" s="5"/>
      <c r="N12" s="5"/>
      <c r="O12" s="5"/>
      <c r="P12" s="5"/>
    </row>
    <row r="13" spans="2:17">
      <c r="B13" s="11"/>
      <c r="C13" s="11"/>
      <c r="D13" s="11"/>
      <c r="E13" s="34"/>
      <c r="F13" s="5"/>
      <c r="G13" s="37"/>
      <c r="H13" s="5"/>
      <c r="I13" s="5"/>
      <c r="J13" s="5"/>
      <c r="K13" s="24"/>
      <c r="L13" s="5"/>
      <c r="M13" s="5"/>
      <c r="N13" s="5"/>
      <c r="O13" s="5"/>
      <c r="P13" s="5"/>
      <c r="Q13" s="37"/>
    </row>
    <row r="14" spans="2:17">
      <c r="B14" s="11"/>
      <c r="C14" s="11"/>
      <c r="D14" s="11"/>
      <c r="E14" s="34"/>
      <c r="F14" s="5"/>
      <c r="H14" s="5"/>
      <c r="I14" s="5"/>
      <c r="J14" s="5"/>
      <c r="K14" s="24"/>
      <c r="L14" s="5"/>
      <c r="M14" s="5"/>
      <c r="N14" s="5"/>
      <c r="O14" s="5"/>
      <c r="P14" s="5"/>
    </row>
    <row r="15" spans="2:17">
      <c r="B15" s="11"/>
      <c r="C15" s="11"/>
      <c r="D15" s="11"/>
      <c r="E15" s="34"/>
      <c r="F15" s="17"/>
      <c r="H15" s="5"/>
      <c r="I15" s="5"/>
      <c r="J15" s="5"/>
      <c r="K15" s="24"/>
      <c r="L15" s="5"/>
      <c r="M15" s="5"/>
      <c r="N15" s="5"/>
      <c r="O15" s="5"/>
      <c r="P15" s="5"/>
    </row>
    <row r="16" spans="2:17" s="37" customFormat="1">
      <c r="B16" s="11"/>
      <c r="C16" s="11"/>
      <c r="D16" s="5"/>
      <c r="E16" s="10"/>
      <c r="F16" s="17"/>
      <c r="G16" s="35"/>
      <c r="H16" s="5"/>
      <c r="I16" s="5"/>
      <c r="J16" s="5"/>
      <c r="K16" s="5"/>
      <c r="L16" s="5"/>
      <c r="M16" s="5"/>
      <c r="N16" s="5"/>
      <c r="O16" s="5"/>
      <c r="P16" s="5"/>
      <c r="Q16" s="35"/>
    </row>
    <row r="17" spans="2:17" s="37" customFormat="1">
      <c r="B17" s="5"/>
      <c r="C17" s="5"/>
      <c r="D17" s="5"/>
      <c r="E17" s="5"/>
      <c r="F17" s="5"/>
      <c r="H17" s="5"/>
      <c r="I17" s="5"/>
      <c r="J17" s="5"/>
      <c r="K17" s="5"/>
      <c r="L17" s="5"/>
      <c r="M17" s="5"/>
      <c r="N17" s="5"/>
      <c r="O17" s="5"/>
      <c r="P17" s="5"/>
    </row>
    <row r="18" spans="2:17">
      <c r="B18" s="5"/>
      <c r="C18" s="5"/>
      <c r="D18" s="5"/>
      <c r="E18" s="5"/>
      <c r="F18" s="5"/>
      <c r="G18" s="37"/>
      <c r="H18" s="5"/>
      <c r="I18" s="5"/>
      <c r="J18" s="5"/>
      <c r="K18" s="5"/>
      <c r="L18" s="5"/>
      <c r="M18" s="5"/>
      <c r="N18" s="5"/>
      <c r="O18" s="5"/>
      <c r="P18" s="5"/>
      <c r="Q18" s="37"/>
    </row>
    <row r="19" spans="2:17">
      <c r="B19" s="5"/>
      <c r="C19" s="5"/>
      <c r="D19" s="5"/>
      <c r="E19" s="5"/>
      <c r="F19" s="5"/>
      <c r="H19" s="5"/>
      <c r="I19" s="5"/>
      <c r="J19" s="5"/>
      <c r="K19" s="5"/>
      <c r="L19" s="5"/>
      <c r="M19" s="5"/>
      <c r="N19" s="5"/>
      <c r="O19" s="5"/>
      <c r="P19" s="5"/>
    </row>
    <row r="20" spans="2:17" s="36" customFormat="1" ht="19.5" customHeight="1">
      <c r="B20" s="5"/>
      <c r="C20" s="5"/>
      <c r="D20" s="5"/>
      <c r="E20" s="5"/>
      <c r="F20" s="5"/>
      <c r="G20" s="35"/>
      <c r="H20" s="5"/>
      <c r="I20" s="5"/>
      <c r="J20" s="5"/>
      <c r="K20" s="5"/>
      <c r="L20" s="5"/>
      <c r="M20" s="5"/>
      <c r="N20" s="5"/>
      <c r="O20" s="5"/>
      <c r="P20" s="5"/>
      <c r="Q20" s="35"/>
    </row>
    <row r="21" spans="2:17">
      <c r="B21" s="5"/>
      <c r="C21" s="5"/>
      <c r="D21" s="5"/>
      <c r="E21" s="5"/>
      <c r="F21" s="5"/>
      <c r="G21" s="36"/>
      <c r="H21" s="5"/>
      <c r="I21" s="5"/>
      <c r="J21" s="5"/>
      <c r="K21" s="5"/>
      <c r="L21" s="5"/>
      <c r="M21" s="5"/>
      <c r="N21" s="5"/>
      <c r="O21" s="5"/>
      <c r="P21" s="5"/>
      <c r="Q21" s="36"/>
    </row>
    <row r="22" spans="2:17">
      <c r="H22" s="5"/>
      <c r="I22" s="5"/>
      <c r="J22" s="5"/>
      <c r="K22" s="5"/>
      <c r="L22" s="5"/>
      <c r="M22" s="5"/>
      <c r="N22" s="5"/>
      <c r="O22" s="5"/>
      <c r="P22" s="5"/>
    </row>
    <row r="23" spans="2:17" s="37" customFormat="1">
      <c r="B23" s="67"/>
      <c r="C23" s="1" t="s">
        <v>124</v>
      </c>
      <c r="D23"/>
      <c r="E23"/>
      <c r="F23"/>
      <c r="G23" s="35"/>
      <c r="H23"/>
      <c r="I23"/>
      <c r="J23"/>
      <c r="K23"/>
      <c r="L23"/>
      <c r="M23"/>
      <c r="N23"/>
      <c r="O23"/>
      <c r="P23"/>
      <c r="Q23" s="35"/>
    </row>
    <row r="24" spans="2:17" s="37" customFormat="1">
      <c r="B24" s="73"/>
      <c r="C24" s="1" t="s">
        <v>125</v>
      </c>
      <c r="D24"/>
      <c r="E24"/>
      <c r="F24"/>
      <c r="H24"/>
      <c r="I24"/>
      <c r="J24"/>
      <c r="K24"/>
      <c r="L24"/>
      <c r="M24"/>
      <c r="N24"/>
      <c r="O24"/>
      <c r="P24"/>
    </row>
    <row r="25" spans="2:17" s="37" customFormat="1">
      <c r="B25"/>
      <c r="C25"/>
      <c r="D25"/>
      <c r="E25"/>
      <c r="F25"/>
      <c r="H25"/>
      <c r="I25"/>
      <c r="J25"/>
      <c r="K25"/>
      <c r="L25"/>
      <c r="M25"/>
      <c r="N25"/>
      <c r="O25"/>
      <c r="P25"/>
    </row>
    <row r="26" spans="2:17">
      <c r="G26" s="37"/>
      <c r="Q26" s="37"/>
    </row>
    <row r="30" spans="2:17">
      <c r="G30" s="38"/>
    </row>
    <row r="31" spans="2:17">
      <c r="G31" s="38"/>
    </row>
    <row r="32" spans="2:17">
      <c r="G32" s="38"/>
    </row>
    <row r="33" spans="7:7">
      <c r="G33" s="38"/>
    </row>
    <row r="34" spans="7:7">
      <c r="G34" s="38"/>
    </row>
    <row r="35" spans="7:7">
      <c r="G35" s="38"/>
    </row>
    <row r="36" spans="7:7">
      <c r="G36" s="38"/>
    </row>
    <row r="37" spans="7:7">
      <c r="G37" s="38"/>
    </row>
    <row r="38" spans="7:7">
      <c r="G38" s="38"/>
    </row>
  </sheetData>
  <pageMargins left="0.75" right="0.75" top="1" bottom="1" header="0.5" footer="0.5"/>
  <pageSetup orientation="portrait" horizontalDpi="4294967292"/>
  <headerFooter alignWithMargins="0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V36"/>
  <sheetViews>
    <sheetView zoomScaleNormal="100" workbookViewId="0">
      <selection activeCell="E1" sqref="E1:G65536"/>
    </sheetView>
  </sheetViews>
  <sheetFormatPr baseColWidth="10" defaultColWidth="8.83203125" defaultRowHeight="13"/>
  <cols>
    <col min="1" max="1" width="2" style="35" bestFit="1" customWidth="1"/>
    <col min="2" max="2" width="13.33203125" style="35" bestFit="1" customWidth="1"/>
    <col min="3" max="3" width="11.83203125" style="35" bestFit="1" customWidth="1"/>
    <col min="4" max="4" width="27.5" style="35" bestFit="1" customWidth="1"/>
    <col min="5" max="5" width="8.5" style="35" bestFit="1" customWidth="1"/>
    <col min="6" max="6" width="13.6640625" style="35" customWidth="1"/>
    <col min="7" max="7" width="2" style="35" bestFit="1" customWidth="1"/>
    <col min="8" max="8" width="11.83203125" style="35" bestFit="1" customWidth="1"/>
    <col min="9" max="9" width="7.1640625" style="35" customWidth="1"/>
    <col min="10" max="10" width="11.5" style="35" bestFit="1" customWidth="1"/>
    <col min="11" max="11" width="37.5" style="35" bestFit="1" customWidth="1"/>
    <col min="12" max="12" width="5.6640625" style="35" customWidth="1"/>
    <col min="13" max="13" width="11" style="35" customWidth="1"/>
    <col min="14" max="14" width="13.1640625" style="35" customWidth="1"/>
    <col min="15" max="15" width="13.5" style="35" customWidth="1"/>
    <col min="16" max="16" width="7.5" style="35" bestFit="1" customWidth="1"/>
    <col min="17" max="16384" width="8.83203125" style="35"/>
  </cols>
  <sheetData>
    <row r="1" spans="2:22" ht="32">
      <c r="B1" s="33" t="s">
        <v>74</v>
      </c>
      <c r="C1" s="33" t="s">
        <v>75</v>
      </c>
      <c r="D1" s="33" t="s">
        <v>76</v>
      </c>
      <c r="E1" s="33" t="s">
        <v>78</v>
      </c>
      <c r="F1" s="33" t="s">
        <v>79</v>
      </c>
    </row>
    <row r="2" spans="2:22" ht="16">
      <c r="B2" s="15" t="s">
        <v>113</v>
      </c>
      <c r="C2" s="15" t="str">
        <f>'EB2'!G$2</f>
        <v>DSL</v>
      </c>
      <c r="D2" s="15" t="str">
        <f>'EB2'!G$3</f>
        <v>Diesel oil</v>
      </c>
      <c r="E2" s="15" t="str">
        <f>'EB2'!$Z$2</f>
        <v>PJ</v>
      </c>
      <c r="F2" s="15" t="str">
        <f>'EB2'!Y2</f>
        <v>M€2005</v>
      </c>
      <c r="H2" s="123" t="s">
        <v>14</v>
      </c>
      <c r="I2" s="123"/>
      <c r="J2" s="124"/>
      <c r="K2" s="124"/>
      <c r="L2" s="124"/>
      <c r="M2" s="124"/>
      <c r="N2" s="124"/>
      <c r="O2" s="124"/>
      <c r="P2" s="124"/>
    </row>
    <row r="3" spans="2:22" ht="16">
      <c r="C3" s="15" t="str">
        <f>'EB2'!H$2</f>
        <v>KER</v>
      </c>
      <c r="D3" s="15" t="str">
        <f>'EB2'!H$3</f>
        <v>Kerosenes</v>
      </c>
      <c r="E3" s="15" t="str">
        <f>'EB2'!$Z$2</f>
        <v>PJ</v>
      </c>
      <c r="H3" s="125" t="s">
        <v>7</v>
      </c>
      <c r="I3" s="126" t="s">
        <v>30</v>
      </c>
      <c r="J3" s="125" t="s">
        <v>0</v>
      </c>
      <c r="K3" s="125" t="s">
        <v>3</v>
      </c>
      <c r="L3" s="125" t="s">
        <v>4</v>
      </c>
      <c r="M3" s="125" t="s">
        <v>8</v>
      </c>
      <c r="N3" s="125" t="s">
        <v>9</v>
      </c>
      <c r="O3" s="125" t="s">
        <v>10</v>
      </c>
      <c r="P3" s="125" t="s">
        <v>12</v>
      </c>
    </row>
    <row r="4" spans="2:22" ht="26" thickBot="1">
      <c r="C4" s="15" t="str">
        <f>'EB2'!I$2</f>
        <v>LPG</v>
      </c>
      <c r="D4" s="15" t="str">
        <f>'EB2'!I$3</f>
        <v>LPG</v>
      </c>
      <c r="E4" s="15" t="str">
        <f>'EB2'!$Z$2</f>
        <v>PJ</v>
      </c>
      <c r="H4" s="117" t="s">
        <v>37</v>
      </c>
      <c r="I4" s="117" t="s">
        <v>31</v>
      </c>
      <c r="J4" s="117" t="s">
        <v>26</v>
      </c>
      <c r="K4" s="117" t="s">
        <v>27</v>
      </c>
      <c r="L4" s="117" t="s">
        <v>4</v>
      </c>
      <c r="M4" s="117" t="s">
        <v>40</v>
      </c>
      <c r="N4" s="117" t="s">
        <v>41</v>
      </c>
      <c r="O4" s="117" t="s">
        <v>28</v>
      </c>
      <c r="P4" s="117" t="s">
        <v>29</v>
      </c>
      <c r="S4" s="37"/>
      <c r="T4" s="37"/>
    </row>
    <row r="5" spans="2:22" ht="16">
      <c r="C5" s="15" t="str">
        <f>'EB2'!J$2</f>
        <v>GSL</v>
      </c>
      <c r="D5" s="15" t="str">
        <f>'EB2'!J$3</f>
        <v>Motor spirit</v>
      </c>
      <c r="E5" s="15" t="str">
        <f>'EB2'!$Z$2</f>
        <v>PJ</v>
      </c>
      <c r="H5" s="127" t="s">
        <v>73</v>
      </c>
      <c r="I5" s="128"/>
      <c r="J5" s="127" t="str">
        <f t="shared" ref="J5:K11" si="0">C2</f>
        <v>DSL</v>
      </c>
      <c r="K5" s="127" t="str">
        <f t="shared" si="0"/>
        <v>Diesel oil</v>
      </c>
      <c r="L5" s="127" t="str">
        <f t="shared" ref="L5:L11" si="1">$E$2</f>
        <v>PJ</v>
      </c>
      <c r="M5" s="127"/>
      <c r="N5" s="127"/>
      <c r="O5" s="127"/>
      <c r="P5" s="127"/>
      <c r="R5" s="37"/>
      <c r="S5" s="37"/>
      <c r="T5" s="37"/>
      <c r="U5" s="37"/>
      <c r="V5" s="37"/>
    </row>
    <row r="6" spans="2:22" ht="16">
      <c r="C6" s="15" t="str">
        <f>'EB2'!K$2</f>
        <v>NAP</v>
      </c>
      <c r="D6" s="15" t="str">
        <f>'EB2'!K$3</f>
        <v>Naphtha</v>
      </c>
      <c r="E6" s="15" t="str">
        <f>'EB2'!$Z$2</f>
        <v>PJ</v>
      </c>
      <c r="H6" s="127"/>
      <c r="I6" s="128"/>
      <c r="J6" s="127" t="str">
        <f t="shared" si="0"/>
        <v>KER</v>
      </c>
      <c r="K6" s="127" t="str">
        <f t="shared" si="0"/>
        <v>Kerosenes</v>
      </c>
      <c r="L6" s="127" t="str">
        <f t="shared" si="1"/>
        <v>PJ</v>
      </c>
      <c r="M6" s="127"/>
      <c r="N6" s="127"/>
      <c r="O6" s="127"/>
      <c r="P6" s="127"/>
      <c r="R6" s="37"/>
      <c r="S6" s="37"/>
      <c r="T6" s="37"/>
      <c r="U6" s="37"/>
      <c r="V6" s="37"/>
    </row>
    <row r="7" spans="2:22" ht="16">
      <c r="C7" s="15" t="str">
        <f>'EB2'!L$2</f>
        <v>HFO</v>
      </c>
      <c r="D7" s="15" t="str">
        <f>'EB2'!L$3</f>
        <v>Heavy Fuel Oil</v>
      </c>
      <c r="E7" s="15" t="str">
        <f>'EB2'!$Z$2</f>
        <v>PJ</v>
      </c>
      <c r="H7" s="127"/>
      <c r="I7" s="128"/>
      <c r="J7" s="127" t="str">
        <f t="shared" si="0"/>
        <v>LPG</v>
      </c>
      <c r="K7" s="127" t="str">
        <f t="shared" si="0"/>
        <v>LPG</v>
      </c>
      <c r="L7" s="127" t="str">
        <f t="shared" si="1"/>
        <v>PJ</v>
      </c>
      <c r="M7" s="127"/>
      <c r="N7" s="127"/>
      <c r="O7" s="127"/>
      <c r="P7" s="127"/>
      <c r="R7" s="37"/>
      <c r="S7" s="37"/>
      <c r="U7" s="37"/>
      <c r="V7" s="37"/>
    </row>
    <row r="8" spans="2:22" ht="16">
      <c r="C8" s="15" t="str">
        <f>'EB2'!M$2</f>
        <v>OPP</v>
      </c>
      <c r="D8" s="15" t="str">
        <f>'EB2'!M$3</f>
        <v>Other Petroleum Products</v>
      </c>
      <c r="E8" s="15" t="str">
        <f>'EB2'!$Z$2</f>
        <v>PJ</v>
      </c>
      <c r="H8" s="127"/>
      <c r="I8" s="128"/>
      <c r="J8" s="127" t="str">
        <f t="shared" si="0"/>
        <v>GSL</v>
      </c>
      <c r="K8" s="127" t="str">
        <f t="shared" si="0"/>
        <v>Motor spirit</v>
      </c>
      <c r="L8" s="127" t="str">
        <f t="shared" si="1"/>
        <v>PJ</v>
      </c>
      <c r="M8" s="127"/>
      <c r="N8" s="127"/>
      <c r="O8" s="127"/>
      <c r="P8" s="127"/>
      <c r="R8" s="37"/>
      <c r="S8" s="37"/>
    </row>
    <row r="9" spans="2:22">
      <c r="H9" s="127"/>
      <c r="I9" s="128"/>
      <c r="J9" s="127" t="str">
        <f t="shared" si="0"/>
        <v>NAP</v>
      </c>
      <c r="K9" s="127" t="str">
        <f t="shared" si="0"/>
        <v>Naphtha</v>
      </c>
      <c r="L9" s="127" t="str">
        <f t="shared" si="1"/>
        <v>PJ</v>
      </c>
      <c r="M9" s="127"/>
      <c r="N9" s="127"/>
      <c r="O9" s="127"/>
      <c r="P9" s="127"/>
      <c r="R9" s="37"/>
      <c r="S9" s="37"/>
    </row>
    <row r="10" spans="2:22" s="37" customFormat="1">
      <c r="B10" s="35"/>
      <c r="C10" s="35"/>
      <c r="D10" s="35"/>
      <c r="E10" s="35"/>
      <c r="F10" s="35"/>
      <c r="H10" s="127"/>
      <c r="I10" s="128"/>
      <c r="J10" s="127" t="str">
        <f t="shared" si="0"/>
        <v>HFO</v>
      </c>
      <c r="K10" s="127" t="str">
        <f t="shared" si="0"/>
        <v>Heavy Fuel Oil</v>
      </c>
      <c r="L10" s="127" t="str">
        <f t="shared" si="1"/>
        <v>PJ</v>
      </c>
      <c r="M10" s="127"/>
      <c r="N10" s="127"/>
      <c r="O10" s="127"/>
      <c r="P10" s="127"/>
      <c r="Q10" s="35"/>
      <c r="U10" s="35"/>
      <c r="V10" s="35"/>
    </row>
    <row r="11" spans="2:22" s="37" customFormat="1">
      <c r="H11" s="127"/>
      <c r="I11" s="128"/>
      <c r="J11" s="127" t="str">
        <f t="shared" si="0"/>
        <v>OPP</v>
      </c>
      <c r="K11" s="127" t="str">
        <f t="shared" si="0"/>
        <v>Other Petroleum Products</v>
      </c>
      <c r="L11" s="127" t="str">
        <f t="shared" si="1"/>
        <v>PJ</v>
      </c>
      <c r="M11" s="127"/>
      <c r="N11" s="127"/>
      <c r="O11" s="127"/>
      <c r="P11" s="127"/>
      <c r="Q11" s="35"/>
    </row>
    <row r="12" spans="2:22" s="37" customFormat="1">
      <c r="H12" s="35"/>
      <c r="I12" s="35"/>
      <c r="J12" s="35"/>
      <c r="K12" s="35"/>
      <c r="L12" s="35"/>
      <c r="M12" s="35"/>
      <c r="N12" s="35"/>
      <c r="O12" s="35"/>
      <c r="P12" s="35"/>
      <c r="Q12" s="35"/>
    </row>
    <row r="13" spans="2:22">
      <c r="D13" s="4" t="s">
        <v>13</v>
      </c>
      <c r="E13" s="4"/>
      <c r="H13" s="123" t="s">
        <v>15</v>
      </c>
      <c r="I13" s="123"/>
      <c r="J13" s="129"/>
      <c r="K13" s="129"/>
      <c r="L13" s="129"/>
      <c r="M13" s="129"/>
      <c r="N13" s="129"/>
      <c r="O13" s="129"/>
      <c r="P13" s="129"/>
      <c r="T13" s="37"/>
      <c r="U13" s="37"/>
      <c r="V13" s="37"/>
    </row>
    <row r="14" spans="2:22">
      <c r="B14" s="47" t="s">
        <v>1</v>
      </c>
      <c r="C14" s="48" t="s">
        <v>5</v>
      </c>
      <c r="D14" s="47" t="s">
        <v>6</v>
      </c>
      <c r="E14" s="85" t="s">
        <v>35</v>
      </c>
      <c r="F14" s="85" t="s">
        <v>80</v>
      </c>
      <c r="H14" s="125" t="s">
        <v>11</v>
      </c>
      <c r="I14" s="126" t="s">
        <v>30</v>
      </c>
      <c r="J14" s="125" t="s">
        <v>1</v>
      </c>
      <c r="K14" s="125" t="s">
        <v>2</v>
      </c>
      <c r="L14" s="125" t="s">
        <v>16</v>
      </c>
      <c r="M14" s="125" t="s">
        <v>17</v>
      </c>
      <c r="N14" s="125" t="s">
        <v>18</v>
      </c>
      <c r="O14" s="125" t="s">
        <v>19</v>
      </c>
      <c r="P14" s="125" t="s">
        <v>20</v>
      </c>
      <c r="T14" s="37"/>
      <c r="U14" s="37"/>
      <c r="V14" s="37"/>
    </row>
    <row r="15" spans="2:22" ht="25" thickBot="1">
      <c r="B15" s="19" t="s">
        <v>39</v>
      </c>
      <c r="C15" s="19" t="s">
        <v>32</v>
      </c>
      <c r="D15" s="19" t="s">
        <v>33</v>
      </c>
      <c r="E15" s="53" t="s">
        <v>87</v>
      </c>
      <c r="F15" s="53" t="s">
        <v>86</v>
      </c>
      <c r="H15" s="117" t="s">
        <v>38</v>
      </c>
      <c r="I15" s="117" t="s">
        <v>31</v>
      </c>
      <c r="J15" s="117" t="s">
        <v>21</v>
      </c>
      <c r="K15" s="117" t="s">
        <v>22</v>
      </c>
      <c r="L15" s="117" t="s">
        <v>23</v>
      </c>
      <c r="M15" s="117" t="s">
        <v>24</v>
      </c>
      <c r="N15" s="117" t="s">
        <v>43</v>
      </c>
      <c r="O15" s="117" t="s">
        <v>42</v>
      </c>
      <c r="P15" s="117" t="s">
        <v>25</v>
      </c>
      <c r="U15" s="37"/>
      <c r="V15" s="37"/>
    </row>
    <row r="16" spans="2:22" s="37" customFormat="1" ht="14" thickBot="1">
      <c r="B16" s="19" t="s">
        <v>85</v>
      </c>
      <c r="C16" s="18"/>
      <c r="D16" s="18"/>
      <c r="E16" s="18" t="str">
        <f>$F$2&amp;"/"&amp;$E$2</f>
        <v>M€2005/PJ</v>
      </c>
      <c r="F16" s="18" t="str">
        <f>$E$2</f>
        <v>PJ</v>
      </c>
      <c r="G16" s="35"/>
      <c r="H16" s="117" t="s">
        <v>81</v>
      </c>
      <c r="I16" s="121"/>
      <c r="J16" s="121"/>
      <c r="K16" s="121"/>
      <c r="L16" s="121"/>
      <c r="M16" s="121"/>
      <c r="N16" s="121"/>
      <c r="O16" s="121"/>
      <c r="P16" s="121"/>
      <c r="Q16" s="35"/>
      <c r="T16" s="35"/>
      <c r="U16" s="35"/>
      <c r="V16" s="35"/>
    </row>
    <row r="17" spans="2:22" s="37" customFormat="1" ht="14">
      <c r="B17" s="44" t="str">
        <f t="shared" ref="B17:B30" si="2">J17</f>
        <v>IMPDSL1</v>
      </c>
      <c r="C17" s="44"/>
      <c r="D17" s="44" t="str">
        <f t="shared" ref="D17:D23" si="3">C2</f>
        <v>DSL</v>
      </c>
      <c r="E17" s="76">
        <f>Pri_OIL!$F$14*1.3</f>
        <v>10.4</v>
      </c>
      <c r="F17" s="71"/>
      <c r="H17" s="128" t="str">
        <f>'EB2'!$B$6</f>
        <v>IMP</v>
      </c>
      <c r="I17" s="128"/>
      <c r="J17" s="128" t="str">
        <f t="shared" ref="J17:J23" si="4">$H$17&amp;C2&amp;1</f>
        <v>IMPDSL1</v>
      </c>
      <c r="K17" s="130" t="str">
        <f t="shared" ref="K17:K23" si="5">"Import of "&amp;D2&amp; " Step "&amp;RIGHT(J17,1)</f>
        <v>Import of Diesel oil Step 1</v>
      </c>
      <c r="L17" s="128" t="str">
        <f t="shared" ref="L17:L30" si="6">$E$2</f>
        <v>PJ</v>
      </c>
      <c r="M17" s="128"/>
      <c r="N17" s="128"/>
      <c r="O17" s="128"/>
      <c r="P17" s="128"/>
      <c r="Q17" s="35"/>
      <c r="T17" s="35"/>
      <c r="U17" s="35"/>
      <c r="V17" s="35"/>
    </row>
    <row r="18" spans="2:22" s="37" customFormat="1" ht="14">
      <c r="B18" s="44" t="str">
        <f t="shared" si="2"/>
        <v>IMPKER1</v>
      </c>
      <c r="C18" s="44"/>
      <c r="D18" s="44" t="str">
        <f t="shared" si="3"/>
        <v>KER</v>
      </c>
      <c r="E18" s="76">
        <f>Pri_OIL!$F$14*1.4</f>
        <v>11.2</v>
      </c>
      <c r="F18" s="71"/>
      <c r="H18" s="128"/>
      <c r="I18" s="128"/>
      <c r="J18" s="128" t="str">
        <f t="shared" si="4"/>
        <v>IMPKER1</v>
      </c>
      <c r="K18" s="130" t="str">
        <f t="shared" si="5"/>
        <v>Import of Kerosenes Step 1</v>
      </c>
      <c r="L18" s="128" t="str">
        <f t="shared" si="6"/>
        <v>PJ</v>
      </c>
      <c r="M18" s="128"/>
      <c r="N18" s="128"/>
      <c r="O18" s="128"/>
      <c r="P18" s="128"/>
      <c r="T18" s="36"/>
      <c r="U18" s="35"/>
      <c r="V18" s="35"/>
    </row>
    <row r="19" spans="2:22" s="37" customFormat="1" ht="14">
      <c r="B19" s="44" t="str">
        <f t="shared" si="2"/>
        <v>IMPLPG1</v>
      </c>
      <c r="C19" s="44"/>
      <c r="D19" s="44" t="str">
        <f t="shared" si="3"/>
        <v>LPG</v>
      </c>
      <c r="E19" s="76">
        <f>Pri_OIL!$F$14*1.1</f>
        <v>8.8000000000000007</v>
      </c>
      <c r="F19" s="71"/>
      <c r="H19" s="128"/>
      <c r="I19" s="128"/>
      <c r="J19" s="128" t="str">
        <f t="shared" si="4"/>
        <v>IMPLPG1</v>
      </c>
      <c r="K19" s="130" t="str">
        <f t="shared" si="5"/>
        <v>Import of LPG Step 1</v>
      </c>
      <c r="L19" s="128" t="str">
        <f t="shared" si="6"/>
        <v>PJ</v>
      </c>
      <c r="M19" s="128"/>
      <c r="N19" s="128"/>
      <c r="O19" s="128"/>
      <c r="P19" s="128"/>
      <c r="T19" s="35"/>
      <c r="U19" s="36"/>
      <c r="V19" s="36"/>
    </row>
    <row r="20" spans="2:22" s="37" customFormat="1" ht="14">
      <c r="B20" s="44" t="str">
        <f t="shared" si="2"/>
        <v>IMPGSL1</v>
      </c>
      <c r="C20" s="44"/>
      <c r="D20" s="44" t="str">
        <f t="shared" si="3"/>
        <v>GSL</v>
      </c>
      <c r="E20" s="76">
        <f>Pri_OIL!$F$14*1.4</f>
        <v>11.2</v>
      </c>
      <c r="F20" s="71"/>
      <c r="H20" s="128"/>
      <c r="I20" s="128"/>
      <c r="J20" s="128" t="str">
        <f t="shared" si="4"/>
        <v>IMPGSL1</v>
      </c>
      <c r="K20" s="130" t="str">
        <f t="shared" si="5"/>
        <v>Import of Motor spirit Step 1</v>
      </c>
      <c r="L20" s="128" t="str">
        <f t="shared" si="6"/>
        <v>PJ</v>
      </c>
      <c r="M20" s="128"/>
      <c r="N20" s="128"/>
      <c r="O20" s="128"/>
      <c r="P20" s="128"/>
      <c r="T20" s="35"/>
      <c r="U20" s="35"/>
      <c r="V20" s="35"/>
    </row>
    <row r="21" spans="2:22" s="37" customFormat="1" ht="14">
      <c r="B21" s="44" t="str">
        <f t="shared" si="2"/>
        <v>IMPNAP1</v>
      </c>
      <c r="C21" s="44"/>
      <c r="D21" s="44" t="str">
        <f t="shared" si="3"/>
        <v>NAP</v>
      </c>
      <c r="E21" s="76">
        <f>Pri_OIL!$F$14*1.05</f>
        <v>8.4</v>
      </c>
      <c r="F21" s="71"/>
      <c r="H21" s="128"/>
      <c r="I21" s="128"/>
      <c r="J21" s="128" t="str">
        <f t="shared" si="4"/>
        <v>IMPNAP1</v>
      </c>
      <c r="K21" s="130" t="str">
        <f t="shared" si="5"/>
        <v>Import of Naphtha Step 1</v>
      </c>
      <c r="L21" s="128" t="str">
        <f t="shared" si="6"/>
        <v>PJ</v>
      </c>
      <c r="M21" s="128"/>
      <c r="N21" s="128"/>
      <c r="O21" s="128"/>
      <c r="P21" s="128"/>
      <c r="R21" s="35"/>
      <c r="S21" s="35"/>
      <c r="T21" s="35"/>
      <c r="U21" s="35"/>
      <c r="V21" s="35"/>
    </row>
    <row r="22" spans="2:22" s="37" customFormat="1" ht="14">
      <c r="B22" s="44" t="str">
        <f t="shared" si="2"/>
        <v>IMPHFO1</v>
      </c>
      <c r="C22" s="44"/>
      <c r="D22" s="44" t="str">
        <f t="shared" si="3"/>
        <v>HFO</v>
      </c>
      <c r="E22" s="76">
        <f>Pri_OIL!$F$14*1.05</f>
        <v>8.4</v>
      </c>
      <c r="F22" s="71"/>
      <c r="H22" s="128"/>
      <c r="I22" s="128"/>
      <c r="J22" s="128" t="str">
        <f t="shared" si="4"/>
        <v>IMPHFO1</v>
      </c>
      <c r="K22" s="130" t="str">
        <f t="shared" si="5"/>
        <v>Import of Heavy Fuel Oil Step 1</v>
      </c>
      <c r="L22" s="128" t="str">
        <f t="shared" si="6"/>
        <v>PJ</v>
      </c>
      <c r="M22" s="128"/>
      <c r="N22" s="128"/>
      <c r="O22" s="128"/>
      <c r="P22" s="128"/>
      <c r="Q22" s="35"/>
      <c r="S22" s="35"/>
      <c r="T22" s="35"/>
      <c r="U22" s="35"/>
      <c r="V22" s="35"/>
    </row>
    <row r="23" spans="2:22" ht="14">
      <c r="B23" s="44" t="str">
        <f t="shared" si="2"/>
        <v>IMPOPP1</v>
      </c>
      <c r="C23" s="44"/>
      <c r="D23" s="44" t="str">
        <f t="shared" si="3"/>
        <v>OPP</v>
      </c>
      <c r="E23" s="76">
        <f>Pri_OIL!$F$14*1.05</f>
        <v>8.4</v>
      </c>
      <c r="F23" s="71"/>
      <c r="G23" s="37"/>
      <c r="H23" s="128"/>
      <c r="I23" s="128"/>
      <c r="J23" s="128" t="str">
        <f t="shared" si="4"/>
        <v>IMPOPP1</v>
      </c>
      <c r="K23" s="130" t="str">
        <f t="shared" si="5"/>
        <v>Import of Other Petroleum Products Step 1</v>
      </c>
      <c r="L23" s="128" t="str">
        <f t="shared" si="6"/>
        <v>PJ</v>
      </c>
      <c r="M23" s="128"/>
      <c r="N23" s="128"/>
      <c r="O23" s="128"/>
      <c r="P23" s="128"/>
      <c r="Q23" s="37"/>
    </row>
    <row r="24" spans="2:22" ht="14">
      <c r="B24" s="44" t="str">
        <f t="shared" si="2"/>
        <v>EXPDSL1</v>
      </c>
      <c r="C24" s="44" t="str">
        <f t="shared" ref="C24:C30" si="7">C2</f>
        <v>DSL</v>
      </c>
      <c r="D24" s="44"/>
      <c r="E24" s="76">
        <f>E17*0.99</f>
        <v>10.295999999999999</v>
      </c>
      <c r="F24" s="71">
        <f>-'EB2'!G$7</f>
        <v>1683.1424999999999</v>
      </c>
      <c r="H24" s="128" t="str">
        <f>'EB2'!B7</f>
        <v>EXP</v>
      </c>
      <c r="I24" s="129"/>
      <c r="J24" s="128" t="str">
        <f t="shared" ref="J24:J30" si="8">$H$24&amp;C2&amp;1</f>
        <v>EXPDSL1</v>
      </c>
      <c r="K24" s="130" t="str">
        <f t="shared" ref="K24:K30" si="9">"Export of "&amp;D2&amp; " Step "&amp;RIGHT(J24,1)</f>
        <v>Export of Diesel oil Step 1</v>
      </c>
      <c r="L24" s="128" t="str">
        <f t="shared" si="6"/>
        <v>PJ</v>
      </c>
      <c r="M24" s="128"/>
      <c r="N24" s="129"/>
      <c r="O24" s="128"/>
      <c r="P24" s="128"/>
      <c r="Q24" s="37"/>
      <c r="S24" s="36"/>
    </row>
    <row r="25" spans="2:22" ht="14">
      <c r="B25" s="44" t="str">
        <f t="shared" si="2"/>
        <v>EXPKER1</v>
      </c>
      <c r="C25" s="44" t="str">
        <f t="shared" si="7"/>
        <v>KER</v>
      </c>
      <c r="D25" s="44"/>
      <c r="E25" s="76">
        <f t="shared" ref="E25:E30" si="10">E18*0.99</f>
        <v>11.087999999999999</v>
      </c>
      <c r="F25" s="71">
        <f>-'EB2'!H$7</f>
        <v>295.38850000000002</v>
      </c>
      <c r="H25" s="129"/>
      <c r="I25" s="129"/>
      <c r="J25" s="128" t="str">
        <f t="shared" si="8"/>
        <v>EXPKER1</v>
      </c>
      <c r="K25" s="130" t="str">
        <f t="shared" si="9"/>
        <v>Export of Kerosenes Step 1</v>
      </c>
      <c r="L25" s="128" t="str">
        <f t="shared" si="6"/>
        <v>PJ</v>
      </c>
      <c r="M25" s="128"/>
      <c r="N25" s="129"/>
      <c r="O25" s="128"/>
      <c r="P25" s="128"/>
      <c r="R25" s="36"/>
    </row>
    <row r="26" spans="2:22" ht="14">
      <c r="B26" s="44" t="str">
        <f t="shared" si="2"/>
        <v>EXPLPG1</v>
      </c>
      <c r="C26" s="44" t="str">
        <f t="shared" si="7"/>
        <v>LPG</v>
      </c>
      <c r="D26" s="44"/>
      <c r="E26" s="76">
        <f t="shared" si="10"/>
        <v>8.7119999999999997</v>
      </c>
      <c r="F26" s="71">
        <f>-'EB2'!I$7</f>
        <v>194.51650000000001</v>
      </c>
      <c r="H26" s="128"/>
      <c r="I26" s="128"/>
      <c r="J26" s="128" t="str">
        <f t="shared" si="8"/>
        <v>EXPLPG1</v>
      </c>
      <c r="K26" s="130" t="str">
        <f t="shared" si="9"/>
        <v>Export of LPG Step 1</v>
      </c>
      <c r="L26" s="128" t="str">
        <f t="shared" si="6"/>
        <v>PJ</v>
      </c>
      <c r="M26" s="128"/>
      <c r="N26" s="128"/>
      <c r="O26" s="128"/>
      <c r="P26" s="128"/>
      <c r="Q26" s="37"/>
    </row>
    <row r="27" spans="2:22" ht="14">
      <c r="B27" s="44" t="str">
        <f t="shared" si="2"/>
        <v>EXPGSL1</v>
      </c>
      <c r="C27" s="44" t="str">
        <f t="shared" si="7"/>
        <v>GSL</v>
      </c>
      <c r="D27" s="44"/>
      <c r="E27" s="76">
        <f t="shared" si="10"/>
        <v>11.087999999999999</v>
      </c>
      <c r="F27" s="71">
        <f>-'EB2'!J$7</f>
        <v>1500.6420000000001</v>
      </c>
      <c r="H27" s="128"/>
      <c r="I27" s="128"/>
      <c r="J27" s="128" t="str">
        <f t="shared" si="8"/>
        <v>EXPGSL1</v>
      </c>
      <c r="K27" s="130" t="str">
        <f t="shared" si="9"/>
        <v>Export of Motor spirit Step 1</v>
      </c>
      <c r="L27" s="128" t="str">
        <f t="shared" si="6"/>
        <v>PJ</v>
      </c>
      <c r="M27" s="128"/>
      <c r="N27" s="128"/>
      <c r="O27" s="128"/>
      <c r="P27" s="128"/>
      <c r="Q27" s="37"/>
    </row>
    <row r="28" spans="2:22" ht="14">
      <c r="B28" s="44" t="str">
        <f t="shared" si="2"/>
        <v>EXPNAP1</v>
      </c>
      <c r="C28" s="44" t="str">
        <f t="shared" si="7"/>
        <v>NAP</v>
      </c>
      <c r="D28" s="44"/>
      <c r="E28" s="76">
        <f t="shared" si="10"/>
        <v>8.3160000000000007</v>
      </c>
      <c r="F28" s="71">
        <f>-'EB2'!K$7</f>
        <v>400.84</v>
      </c>
      <c r="H28" s="129"/>
      <c r="I28" s="129"/>
      <c r="J28" s="128" t="str">
        <f t="shared" si="8"/>
        <v>EXPNAP1</v>
      </c>
      <c r="K28" s="130" t="str">
        <f t="shared" si="9"/>
        <v>Export of Naphtha Step 1</v>
      </c>
      <c r="L28" s="128" t="str">
        <f t="shared" si="6"/>
        <v>PJ</v>
      </c>
      <c r="M28" s="128"/>
      <c r="N28" s="129"/>
      <c r="O28" s="129"/>
      <c r="P28" s="129"/>
      <c r="Q28" s="37"/>
    </row>
    <row r="29" spans="2:22" ht="14">
      <c r="B29" s="44" t="str">
        <f t="shared" si="2"/>
        <v>EXPHFO1</v>
      </c>
      <c r="C29" s="44" t="str">
        <f t="shared" si="7"/>
        <v>HFO</v>
      </c>
      <c r="D29" s="44"/>
      <c r="E29" s="76">
        <f t="shared" si="10"/>
        <v>8.3160000000000007</v>
      </c>
      <c r="F29" s="71">
        <f>-'EB2'!L$7</f>
        <v>1239.28</v>
      </c>
      <c r="H29" s="129"/>
      <c r="I29" s="129"/>
      <c r="J29" s="128" t="str">
        <f t="shared" si="8"/>
        <v>EXPHFO1</v>
      </c>
      <c r="K29" s="130" t="str">
        <f t="shared" si="9"/>
        <v>Export of Heavy Fuel Oil Step 1</v>
      </c>
      <c r="L29" s="128" t="str">
        <f t="shared" si="6"/>
        <v>PJ</v>
      </c>
      <c r="M29" s="128"/>
      <c r="N29" s="129"/>
      <c r="O29" s="129"/>
      <c r="P29" s="129"/>
      <c r="Q29" s="37"/>
    </row>
    <row r="30" spans="2:22" ht="14">
      <c r="B30" s="44" t="str">
        <f t="shared" si="2"/>
        <v>EXPOPP1</v>
      </c>
      <c r="C30" s="44" t="str">
        <f t="shared" si="7"/>
        <v>OPP</v>
      </c>
      <c r="D30" s="44"/>
      <c r="E30" s="76">
        <f t="shared" si="10"/>
        <v>8.3160000000000007</v>
      </c>
      <c r="F30" s="71">
        <f>-'EB2'!M$7</f>
        <v>453.036</v>
      </c>
      <c r="H30" s="129"/>
      <c r="I30" s="129"/>
      <c r="J30" s="128" t="str">
        <f t="shared" si="8"/>
        <v>EXPOPP1</v>
      </c>
      <c r="K30" s="130" t="str">
        <f t="shared" si="9"/>
        <v>Export of Other Petroleum Products Step 1</v>
      </c>
      <c r="L30" s="128" t="str">
        <f t="shared" si="6"/>
        <v>PJ</v>
      </c>
      <c r="M30" s="129"/>
      <c r="N30" s="129"/>
      <c r="O30" s="129"/>
      <c r="P30" s="129"/>
    </row>
    <row r="31" spans="2:22">
      <c r="B31" s="44"/>
      <c r="C31" s="44"/>
      <c r="D31" s="44"/>
      <c r="E31" s="49"/>
      <c r="F31" s="40"/>
    </row>
    <row r="35" spans="2:3">
      <c r="B35" s="67"/>
      <c r="C35" s="1" t="s">
        <v>124</v>
      </c>
    </row>
    <row r="36" spans="2:3">
      <c r="B36" s="73"/>
      <c r="C36" s="1" t="s">
        <v>125</v>
      </c>
    </row>
  </sheetData>
  <pageMargins left="0.75" right="0.75" top="1" bottom="1" header="0.5" footer="0.5"/>
  <pageSetup orientation="portrait" horizontalDpi="4294967292"/>
  <headerFooter alignWithMargins="0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V22"/>
  <sheetViews>
    <sheetView zoomScaleNormal="100" workbookViewId="0">
      <selection activeCell="E1" sqref="E1:G65536"/>
    </sheetView>
  </sheetViews>
  <sheetFormatPr baseColWidth="10" defaultColWidth="9.1640625" defaultRowHeight="13"/>
  <cols>
    <col min="1" max="1" width="2" style="35" bestFit="1" customWidth="1"/>
    <col min="2" max="2" width="13.33203125" style="35" bestFit="1" customWidth="1"/>
    <col min="3" max="3" width="11.83203125" style="35" bestFit="1" customWidth="1"/>
    <col min="4" max="4" width="27.5" style="35" bestFit="1" customWidth="1"/>
    <col min="5" max="5" width="8.5" style="35" bestFit="1" customWidth="1"/>
    <col min="6" max="6" width="13.6640625" style="35" customWidth="1"/>
    <col min="7" max="7" width="2" style="35" bestFit="1" customWidth="1"/>
    <col min="8" max="8" width="11.83203125" style="35" bestFit="1" customWidth="1"/>
    <col min="9" max="9" width="7.1640625" style="35" customWidth="1"/>
    <col min="10" max="10" width="11.5" style="35" bestFit="1" customWidth="1"/>
    <col min="11" max="11" width="37.5" style="35" bestFit="1" customWidth="1"/>
    <col min="12" max="12" width="6.1640625" style="35" bestFit="1" customWidth="1"/>
    <col min="13" max="13" width="11" style="35" customWidth="1"/>
    <col min="14" max="14" width="12.83203125" style="35" bestFit="1" customWidth="1"/>
    <col min="15" max="15" width="14.1640625" style="35" bestFit="1" customWidth="1"/>
    <col min="16" max="16" width="8" style="35" bestFit="1" customWidth="1"/>
    <col min="17" max="16384" width="9.1640625" style="35"/>
  </cols>
  <sheetData>
    <row r="1" spans="2:22" ht="32">
      <c r="B1" s="33" t="s">
        <v>74</v>
      </c>
      <c r="C1" s="33" t="s">
        <v>75</v>
      </c>
      <c r="D1" s="33" t="s">
        <v>76</v>
      </c>
      <c r="E1" s="33" t="s">
        <v>78</v>
      </c>
      <c r="F1" s="33" t="s">
        <v>79</v>
      </c>
    </row>
    <row r="2" spans="2:22" ht="16">
      <c r="B2" s="15" t="s">
        <v>113</v>
      </c>
      <c r="C2" s="15" t="str">
        <f>'EB2'!U$2</f>
        <v>ELC</v>
      </c>
      <c r="D2" s="15" t="str">
        <f>'EB2'!U$3</f>
        <v>Electricity</v>
      </c>
      <c r="E2" s="15" t="str">
        <f>'EB2'!$Z$2</f>
        <v>PJ</v>
      </c>
      <c r="F2" s="15" t="str">
        <f>'EB2'!Y2</f>
        <v>M€2005</v>
      </c>
      <c r="H2" s="123" t="s">
        <v>14</v>
      </c>
      <c r="I2" s="123"/>
      <c r="J2" s="124"/>
      <c r="K2" s="124"/>
      <c r="L2" s="124"/>
      <c r="M2" s="124"/>
      <c r="N2" s="124"/>
      <c r="O2" s="124"/>
      <c r="P2" s="124"/>
    </row>
    <row r="3" spans="2:22" ht="16">
      <c r="C3" s="13"/>
      <c r="D3" s="13"/>
      <c r="H3" s="125" t="s">
        <v>7</v>
      </c>
      <c r="I3" s="126" t="s">
        <v>30</v>
      </c>
      <c r="J3" s="125" t="s">
        <v>0</v>
      </c>
      <c r="K3" s="125" t="s">
        <v>3</v>
      </c>
      <c r="L3" s="125" t="s">
        <v>4</v>
      </c>
      <c r="M3" s="125" t="s">
        <v>8</v>
      </c>
      <c r="N3" s="125" t="s">
        <v>9</v>
      </c>
      <c r="O3" s="125" t="s">
        <v>10</v>
      </c>
      <c r="P3" s="125" t="s">
        <v>12</v>
      </c>
    </row>
    <row r="4" spans="2:22" ht="26" thickBot="1">
      <c r="C4" s="13"/>
      <c r="D4" s="13"/>
      <c r="H4" s="117" t="s">
        <v>37</v>
      </c>
      <c r="I4" s="117" t="s">
        <v>31</v>
      </c>
      <c r="J4" s="117" t="s">
        <v>26</v>
      </c>
      <c r="K4" s="117" t="s">
        <v>27</v>
      </c>
      <c r="L4" s="117" t="s">
        <v>4</v>
      </c>
      <c r="M4" s="117" t="s">
        <v>40</v>
      </c>
      <c r="N4" s="117" t="s">
        <v>41</v>
      </c>
      <c r="O4" s="117" t="s">
        <v>28</v>
      </c>
      <c r="P4" s="117" t="s">
        <v>29</v>
      </c>
      <c r="S4" s="37"/>
      <c r="T4" s="37"/>
    </row>
    <row r="5" spans="2:22" ht="16">
      <c r="C5" s="13"/>
      <c r="D5" s="13"/>
      <c r="H5" s="44"/>
      <c r="I5" s="37"/>
      <c r="J5" s="44"/>
      <c r="K5" s="44"/>
      <c r="L5" s="44"/>
      <c r="M5" s="44"/>
      <c r="N5" s="44"/>
      <c r="O5" s="44"/>
      <c r="P5" s="44"/>
      <c r="R5" s="37"/>
      <c r="S5" s="37"/>
      <c r="T5" s="37"/>
      <c r="U5" s="37"/>
      <c r="V5" s="37"/>
    </row>
    <row r="6" spans="2:22" ht="16">
      <c r="C6" s="13"/>
      <c r="D6" s="13"/>
      <c r="H6" s="44"/>
      <c r="I6" s="37"/>
      <c r="J6" s="44"/>
      <c r="K6" s="44"/>
      <c r="L6" s="44"/>
      <c r="M6" s="44"/>
      <c r="N6" s="44"/>
      <c r="O6" s="44"/>
      <c r="P6" s="44"/>
      <c r="R6" s="37"/>
      <c r="S6" s="37"/>
      <c r="T6" s="37"/>
      <c r="U6" s="37"/>
      <c r="V6" s="37"/>
    </row>
    <row r="7" spans="2:22" s="37" customFormat="1">
      <c r="H7" s="35"/>
      <c r="I7" s="35"/>
      <c r="J7" s="35"/>
      <c r="K7" s="35"/>
      <c r="L7" s="35"/>
      <c r="M7" s="35"/>
      <c r="N7" s="35"/>
      <c r="O7" s="35"/>
      <c r="P7" s="35"/>
      <c r="Q7" s="35"/>
    </row>
    <row r="8" spans="2:22" s="37" customFormat="1">
      <c r="H8" s="35"/>
      <c r="I8" s="35"/>
      <c r="J8" s="35"/>
      <c r="K8" s="35"/>
      <c r="L8" s="35"/>
      <c r="M8" s="35"/>
      <c r="N8" s="35"/>
      <c r="O8" s="35"/>
      <c r="P8" s="35"/>
      <c r="Q8" s="35"/>
    </row>
    <row r="9" spans="2:22" s="37" customFormat="1">
      <c r="H9" s="35"/>
      <c r="I9" s="35"/>
      <c r="J9" s="35"/>
      <c r="K9" s="35"/>
      <c r="L9" s="35"/>
      <c r="M9" s="35"/>
      <c r="N9" s="35"/>
      <c r="O9" s="35"/>
      <c r="P9" s="35"/>
      <c r="Q9" s="35"/>
    </row>
    <row r="10" spans="2:22" s="37" customFormat="1">
      <c r="H10" s="35"/>
      <c r="I10" s="35"/>
      <c r="J10" s="35"/>
      <c r="K10" s="35"/>
      <c r="L10" s="35"/>
      <c r="M10" s="35"/>
      <c r="N10" s="35"/>
      <c r="O10" s="35"/>
      <c r="P10" s="35"/>
      <c r="Q10" s="35"/>
    </row>
    <row r="11" spans="2:22">
      <c r="D11" s="4" t="s">
        <v>13</v>
      </c>
      <c r="E11" s="4"/>
      <c r="H11" s="123" t="s">
        <v>15</v>
      </c>
      <c r="I11" s="123"/>
      <c r="J11" s="129"/>
      <c r="K11" s="129"/>
      <c r="L11" s="129"/>
      <c r="M11" s="129"/>
      <c r="N11" s="129"/>
      <c r="O11" s="129"/>
      <c r="P11" s="129"/>
      <c r="T11" s="37"/>
      <c r="U11" s="37"/>
      <c r="V11" s="37"/>
    </row>
    <row r="12" spans="2:22" ht="14">
      <c r="B12" s="47" t="s">
        <v>1</v>
      </c>
      <c r="C12" s="48" t="s">
        <v>5</v>
      </c>
      <c r="D12" s="47" t="s">
        <v>6</v>
      </c>
      <c r="E12" s="97" t="s">
        <v>35</v>
      </c>
      <c r="F12" s="97" t="s">
        <v>80</v>
      </c>
      <c r="H12" s="125" t="s">
        <v>11</v>
      </c>
      <c r="I12" s="126" t="s">
        <v>30</v>
      </c>
      <c r="J12" s="125" t="s">
        <v>1</v>
      </c>
      <c r="K12" s="125" t="s">
        <v>2</v>
      </c>
      <c r="L12" s="125" t="s">
        <v>16</v>
      </c>
      <c r="M12" s="125" t="s">
        <v>17</v>
      </c>
      <c r="N12" s="125" t="s">
        <v>18</v>
      </c>
      <c r="O12" s="125" t="s">
        <v>19</v>
      </c>
      <c r="P12" s="125" t="s">
        <v>20</v>
      </c>
      <c r="T12" s="37"/>
      <c r="U12" s="37"/>
      <c r="V12" s="37"/>
    </row>
    <row r="13" spans="2:22" ht="25" thickBot="1">
      <c r="B13" s="53" t="s">
        <v>39</v>
      </c>
      <c r="C13" s="53" t="s">
        <v>32</v>
      </c>
      <c r="D13" s="53" t="s">
        <v>33</v>
      </c>
      <c r="E13" s="53" t="s">
        <v>87</v>
      </c>
      <c r="F13" s="53" t="s">
        <v>86</v>
      </c>
      <c r="H13" s="117" t="s">
        <v>38</v>
      </c>
      <c r="I13" s="117" t="s">
        <v>31</v>
      </c>
      <c r="J13" s="117" t="s">
        <v>21</v>
      </c>
      <c r="K13" s="117" t="s">
        <v>22</v>
      </c>
      <c r="L13" s="117" t="s">
        <v>23</v>
      </c>
      <c r="M13" s="117" t="s">
        <v>24</v>
      </c>
      <c r="N13" s="117" t="s">
        <v>43</v>
      </c>
      <c r="O13" s="117" t="s">
        <v>42</v>
      </c>
      <c r="P13" s="117" t="s">
        <v>25</v>
      </c>
      <c r="U13" s="37"/>
      <c r="V13" s="37"/>
    </row>
    <row r="14" spans="2:22" s="37" customFormat="1" ht="14" thickBot="1">
      <c r="B14" s="53" t="s">
        <v>85</v>
      </c>
      <c r="C14" s="18"/>
      <c r="D14" s="18"/>
      <c r="E14" s="18" t="str">
        <f>$F$2&amp;"/"&amp;$E$2</f>
        <v>M€2005/PJ</v>
      </c>
      <c r="F14" s="18" t="str">
        <f>$E$2</f>
        <v>PJ</v>
      </c>
      <c r="H14" s="117" t="s">
        <v>81</v>
      </c>
      <c r="I14" s="117"/>
      <c r="J14" s="117"/>
      <c r="K14" s="117"/>
      <c r="L14" s="117"/>
      <c r="M14" s="117"/>
      <c r="N14" s="117"/>
      <c r="O14" s="117"/>
      <c r="P14" s="117"/>
      <c r="Q14" s="35"/>
      <c r="T14" s="35"/>
      <c r="U14" s="35"/>
      <c r="V14" s="35"/>
    </row>
    <row r="15" spans="2:22" s="37" customFormat="1" ht="14">
      <c r="B15" s="44" t="str">
        <f>J15</f>
        <v>IMPELC1</v>
      </c>
      <c r="C15" s="44"/>
      <c r="D15" s="44" t="str">
        <f>C2</f>
        <v>ELC</v>
      </c>
      <c r="E15" s="80">
        <f>Pri_GAS!F12*1.3</f>
        <v>5.3819999999999997</v>
      </c>
      <c r="F15" s="98">
        <f>'EB2'!U6</f>
        <v>583.76</v>
      </c>
      <c r="H15" s="128" t="str">
        <f>'EB2'!$B$6</f>
        <v>IMP</v>
      </c>
      <c r="I15" s="128"/>
      <c r="J15" s="128" t="str">
        <f>$H$15&amp;C2&amp;1</f>
        <v>IMPELC1</v>
      </c>
      <c r="K15" s="130" t="str">
        <f>"Import of "&amp;D2&amp; " Step "&amp;RIGHT(J15,1)</f>
        <v>Import of Electricity Step 1</v>
      </c>
      <c r="L15" s="128" t="str">
        <f>$E$2</f>
        <v>PJ</v>
      </c>
      <c r="M15" s="128"/>
      <c r="N15" s="127" t="s">
        <v>100</v>
      </c>
      <c r="O15" s="128"/>
      <c r="P15" s="128"/>
      <c r="T15" s="35"/>
      <c r="U15" s="35"/>
      <c r="V15" s="35"/>
    </row>
    <row r="16" spans="2:22" ht="14">
      <c r="B16" s="44" t="str">
        <f>J16</f>
        <v>EXPELC1</v>
      </c>
      <c r="C16" s="44" t="str">
        <f>C2</f>
        <v>ELC</v>
      </c>
      <c r="D16" s="44"/>
      <c r="E16" s="80">
        <v>6</v>
      </c>
      <c r="F16" s="98">
        <f>-'EB2'!U$7</f>
        <v>563.40200000000004</v>
      </c>
      <c r="H16" s="128" t="str">
        <f>'EB2'!B7</f>
        <v>EXP</v>
      </c>
      <c r="I16" s="129"/>
      <c r="J16" s="128" t="str">
        <f>$H$16&amp;C2&amp;1</f>
        <v>EXPELC1</v>
      </c>
      <c r="K16" s="130" t="str">
        <f>"Export of "&amp;D2&amp; " Step "&amp;RIGHT(J16,1)</f>
        <v>Export of Electricity Step 1</v>
      </c>
      <c r="L16" s="128" t="str">
        <f>$E$2</f>
        <v>PJ</v>
      </c>
      <c r="M16" s="128"/>
      <c r="N16" s="127" t="s">
        <v>100</v>
      </c>
      <c r="O16" s="128"/>
      <c r="P16" s="128"/>
      <c r="S16" s="36"/>
    </row>
    <row r="21" spans="2:3">
      <c r="B21" s="79"/>
      <c r="C21" s="36" t="s">
        <v>124</v>
      </c>
    </row>
    <row r="22" spans="2:3">
      <c r="B22" s="88"/>
      <c r="C22" s="36" t="s">
        <v>125</v>
      </c>
    </row>
  </sheetData>
  <pageMargins left="0.75" right="0.75" top="1" bottom="1" header="0.5" footer="0.5"/>
  <pageSetup orientation="portrait" horizontalDpi="4294967292"/>
  <headerFooter alignWithMargins="0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R24"/>
  <sheetViews>
    <sheetView zoomScaleNormal="100" workbookViewId="0">
      <selection activeCell="C4" sqref="C4"/>
    </sheetView>
  </sheetViews>
  <sheetFormatPr baseColWidth="10" defaultColWidth="8.83203125" defaultRowHeight="13"/>
  <cols>
    <col min="1" max="1" width="3" style="35" customWidth="1"/>
    <col min="2" max="2" width="16.5" style="35" bestFit="1" customWidth="1"/>
    <col min="3" max="3" width="10.6640625" style="35" customWidth="1"/>
    <col min="4" max="4" width="11.1640625" style="35" customWidth="1"/>
    <col min="5" max="5" width="12" style="35" customWidth="1"/>
    <col min="6" max="6" width="12.5" style="35" bestFit="1" customWidth="1"/>
    <col min="7" max="7" width="13.1640625" style="35" bestFit="1" customWidth="1"/>
    <col min="8" max="8" width="7.83203125" style="35" bestFit="1" customWidth="1"/>
    <col min="9" max="9" width="2" style="35" bestFit="1" customWidth="1"/>
    <col min="10" max="10" width="11.83203125" customWidth="1"/>
    <col min="11" max="11" width="7.5" customWidth="1"/>
    <col min="12" max="12" width="13.5" bestFit="1" customWidth="1"/>
    <col min="13" max="13" width="20.83203125" bestFit="1" customWidth="1"/>
    <col min="14" max="14" width="6.1640625" customWidth="1"/>
    <col min="15" max="15" width="10.83203125" customWidth="1"/>
    <col min="16" max="16" width="12.83203125" customWidth="1"/>
    <col min="17" max="17" width="13.6640625" customWidth="1"/>
    <col min="18" max="18" width="7.5" bestFit="1" customWidth="1"/>
    <col min="19" max="16384" width="8.83203125" style="35"/>
  </cols>
  <sheetData>
    <row r="1" spans="2:18" ht="16">
      <c r="B1" s="33" t="s">
        <v>74</v>
      </c>
      <c r="C1" s="12" t="s">
        <v>76</v>
      </c>
      <c r="D1" s="12" t="s">
        <v>96</v>
      </c>
      <c r="E1" s="33" t="s">
        <v>23</v>
      </c>
      <c r="F1" s="33" t="s">
        <v>99</v>
      </c>
      <c r="G1" s="33" t="s">
        <v>79</v>
      </c>
      <c r="H1" s="33" t="s">
        <v>91</v>
      </c>
    </row>
    <row r="2" spans="2:18" ht="17">
      <c r="B2" s="15" t="s">
        <v>70</v>
      </c>
      <c r="C2" s="15" t="s">
        <v>115</v>
      </c>
      <c r="D2" s="23" t="s">
        <v>115</v>
      </c>
      <c r="E2" s="15" t="str">
        <f>'EB2'!Z2</f>
        <v>PJ</v>
      </c>
      <c r="F2" s="15" t="s">
        <v>116</v>
      </c>
      <c r="G2" s="15" t="str">
        <f>'EB2'!Y2</f>
        <v>M€2005</v>
      </c>
      <c r="H2" s="15" t="s">
        <v>92</v>
      </c>
      <c r="J2" s="113" t="s">
        <v>14</v>
      </c>
      <c r="K2" s="113"/>
      <c r="L2" s="114"/>
      <c r="M2" s="114"/>
      <c r="N2" s="114"/>
      <c r="O2" s="114"/>
      <c r="P2" s="114"/>
      <c r="Q2" s="114"/>
      <c r="R2" s="114"/>
    </row>
    <row r="3" spans="2:18" ht="15">
      <c r="H3" s="104"/>
      <c r="J3" s="115" t="s">
        <v>7</v>
      </c>
      <c r="K3" s="116" t="s">
        <v>30</v>
      </c>
      <c r="L3" s="115" t="s">
        <v>0</v>
      </c>
      <c r="M3" s="115" t="s">
        <v>3</v>
      </c>
      <c r="N3" s="115" t="s">
        <v>4</v>
      </c>
      <c r="O3" s="115" t="s">
        <v>8</v>
      </c>
      <c r="P3" s="115" t="s">
        <v>9</v>
      </c>
      <c r="Q3" s="115" t="s">
        <v>10</v>
      </c>
      <c r="R3" s="115" t="s">
        <v>12</v>
      </c>
    </row>
    <row r="4" spans="2:18" s="37" customFormat="1" ht="26" thickBot="1">
      <c r="B4" s="43"/>
      <c r="C4" s="45"/>
      <c r="D4" s="45"/>
      <c r="E4" s="45"/>
      <c r="H4" s="13"/>
      <c r="J4" s="117" t="s">
        <v>37</v>
      </c>
      <c r="K4" s="117" t="s">
        <v>31</v>
      </c>
      <c r="L4" s="117" t="s">
        <v>26</v>
      </c>
      <c r="M4" s="117" t="s">
        <v>27</v>
      </c>
      <c r="N4" s="117" t="s">
        <v>4</v>
      </c>
      <c r="O4" s="117" t="s">
        <v>40</v>
      </c>
      <c r="P4" s="117" t="s">
        <v>41</v>
      </c>
      <c r="Q4" s="117" t="s">
        <v>28</v>
      </c>
      <c r="R4" s="117" t="s">
        <v>29</v>
      </c>
    </row>
    <row r="5" spans="2:18" s="37" customFormat="1" ht="16">
      <c r="B5" s="42"/>
      <c r="C5" s="13"/>
      <c r="D5" s="13"/>
      <c r="E5" s="13"/>
      <c r="J5"/>
      <c r="K5"/>
      <c r="L5"/>
      <c r="M5"/>
      <c r="N5"/>
      <c r="O5"/>
      <c r="P5"/>
      <c r="Q5"/>
      <c r="R5"/>
    </row>
    <row r="7" spans="2:18">
      <c r="J7" s="2"/>
      <c r="K7" s="2"/>
    </row>
    <row r="8" spans="2:18" ht="15">
      <c r="D8" s="4" t="s">
        <v>13</v>
      </c>
      <c r="E8" s="4"/>
      <c r="F8" s="4"/>
      <c r="G8" s="105"/>
      <c r="H8" s="105"/>
      <c r="I8" s="37"/>
      <c r="J8" s="113" t="s">
        <v>15</v>
      </c>
      <c r="K8" s="113"/>
      <c r="L8" s="114"/>
      <c r="M8" s="114"/>
      <c r="N8" s="114"/>
      <c r="O8" s="114"/>
      <c r="P8" s="114"/>
      <c r="Q8" s="114"/>
      <c r="R8" s="114"/>
    </row>
    <row r="9" spans="2:18" ht="26" customHeight="1">
      <c r="B9" s="21" t="s">
        <v>1</v>
      </c>
      <c r="C9" s="21" t="s">
        <v>5</v>
      </c>
      <c r="D9" s="21" t="s">
        <v>6</v>
      </c>
      <c r="E9" s="83" t="s">
        <v>117</v>
      </c>
      <c r="F9" s="84" t="s">
        <v>82</v>
      </c>
      <c r="G9" s="84" t="s">
        <v>80</v>
      </c>
      <c r="H9" s="106"/>
      <c r="I9" s="39"/>
      <c r="J9" s="115" t="s">
        <v>11</v>
      </c>
      <c r="K9" s="116" t="s">
        <v>30</v>
      </c>
      <c r="L9" s="115" t="s">
        <v>1</v>
      </c>
      <c r="M9" s="115" t="s">
        <v>2</v>
      </c>
      <c r="N9" s="115" t="s">
        <v>16</v>
      </c>
      <c r="O9" s="115" t="s">
        <v>17</v>
      </c>
      <c r="P9" s="115" t="s">
        <v>18</v>
      </c>
      <c r="Q9" s="115" t="s">
        <v>19</v>
      </c>
      <c r="R9" s="115" t="s">
        <v>20</v>
      </c>
    </row>
    <row r="10" spans="2:18" ht="25" thickBot="1">
      <c r="B10" s="20" t="s">
        <v>39</v>
      </c>
      <c r="C10" s="20" t="s">
        <v>32</v>
      </c>
      <c r="D10" s="20" t="s">
        <v>33</v>
      </c>
      <c r="E10" s="20" t="s">
        <v>118</v>
      </c>
      <c r="F10" s="20" t="s">
        <v>84</v>
      </c>
      <c r="G10" s="20" t="s">
        <v>119</v>
      </c>
      <c r="H10" s="107"/>
      <c r="I10" s="37"/>
      <c r="J10" s="117" t="s">
        <v>38</v>
      </c>
      <c r="K10" s="117" t="s">
        <v>31</v>
      </c>
      <c r="L10" s="117" t="s">
        <v>21</v>
      </c>
      <c r="M10" s="117" t="s">
        <v>22</v>
      </c>
      <c r="N10" s="117" t="s">
        <v>23</v>
      </c>
      <c r="O10" s="117" t="s">
        <v>24</v>
      </c>
      <c r="P10" s="117" t="s">
        <v>43</v>
      </c>
      <c r="Q10" s="117" t="s">
        <v>42</v>
      </c>
      <c r="R10" s="117" t="s">
        <v>25</v>
      </c>
    </row>
    <row r="11" spans="2:18" ht="14" thickBot="1">
      <c r="B11" s="53" t="s">
        <v>85</v>
      </c>
      <c r="C11" s="53"/>
      <c r="D11" s="53"/>
      <c r="E11" s="18" t="str">
        <f>$F$2</f>
        <v>Pja</v>
      </c>
      <c r="F11" s="18"/>
      <c r="G11" s="18"/>
      <c r="H11" s="108"/>
      <c r="I11" s="37"/>
      <c r="J11" s="117" t="s">
        <v>81</v>
      </c>
      <c r="K11" s="117"/>
      <c r="L11" s="117"/>
      <c r="M11" s="117"/>
      <c r="N11" s="117"/>
      <c r="O11" s="117"/>
      <c r="P11" s="117"/>
      <c r="Q11" s="117"/>
      <c r="R11" s="117"/>
    </row>
    <row r="12" spans="2:18" ht="14">
      <c r="B12" s="35" t="str">
        <f>L12</f>
        <v>REFEOIL00</v>
      </c>
      <c r="C12" s="35" t="str">
        <f>'EB2'!F2</f>
        <v>OIL</v>
      </c>
      <c r="D12" s="35" t="str">
        <f>'EB2'!G2</f>
        <v>DSL</v>
      </c>
      <c r="E12" s="78">
        <f>'EB2'!G$13/SUM('EB2'!$G$13:$M$13)</f>
        <v>0.36389900563393895</v>
      </c>
      <c r="F12" s="74">
        <f>-SUM('EB2'!F13)/SUM('EB2'!G13:M13)</f>
        <v>1.0128203720739584</v>
      </c>
      <c r="G12" s="72">
        <f>SUM('EB2'!G13:M13)</f>
        <v>15667.368999999999</v>
      </c>
      <c r="H12" s="17"/>
      <c r="I12" s="37"/>
      <c r="J12" s="118" t="s">
        <v>95</v>
      </c>
      <c r="K12" s="119"/>
      <c r="L12" s="119" t="str">
        <f>$B$2&amp;$H$2&amp;'EB2'!F2&amp;"00"</f>
        <v>REFEOIL00</v>
      </c>
      <c r="M12" s="122" t="str">
        <f>$D$2&amp;" "&amp;$H$1&amp;RIGHT(L12,2)</f>
        <v>Refinery Existing00</v>
      </c>
      <c r="N12" s="119" t="str">
        <f>$E$2</f>
        <v>PJ</v>
      </c>
      <c r="O12" s="119" t="str">
        <f>$F$2</f>
        <v>Pja</v>
      </c>
      <c r="P12" s="118"/>
      <c r="Q12" s="118" t="s">
        <v>120</v>
      </c>
      <c r="R12" s="119"/>
    </row>
    <row r="13" spans="2:18">
      <c r="D13" s="35" t="str">
        <f>'EB2'!H2</f>
        <v>KER</v>
      </c>
      <c r="E13" s="78">
        <f>'EB2'!H$13/SUM('EB2'!$G$13:$M$13)</f>
        <v>6.1878800454626431E-2</v>
      </c>
      <c r="F13" s="41"/>
      <c r="I13" s="37"/>
      <c r="J13" s="5"/>
      <c r="K13" s="5"/>
      <c r="L13" s="5"/>
      <c r="M13" s="24"/>
      <c r="N13" s="5"/>
      <c r="O13" s="5"/>
      <c r="P13" s="5"/>
      <c r="Q13" s="5"/>
      <c r="R13" s="5"/>
    </row>
    <row r="14" spans="2:18">
      <c r="B14" s="38"/>
      <c r="C14" s="38"/>
      <c r="D14" s="38" t="str">
        <f>'EB2'!I2</f>
        <v>LPG</v>
      </c>
      <c r="E14" s="78">
        <f>'EB2'!I$13/SUM('EB2'!$G$13:$M$13)</f>
        <v>6.9335444898246806E-2</v>
      </c>
      <c r="F14" s="50"/>
      <c r="G14" s="38"/>
      <c r="H14" s="38"/>
      <c r="I14" s="37"/>
      <c r="J14" s="5"/>
      <c r="K14" s="5"/>
      <c r="L14" s="5"/>
      <c r="M14" s="24"/>
      <c r="N14" s="5"/>
      <c r="O14" s="5"/>
      <c r="P14" s="5"/>
      <c r="Q14" s="5"/>
      <c r="R14" s="5"/>
    </row>
    <row r="15" spans="2:18">
      <c r="B15" s="38"/>
      <c r="C15" s="38"/>
      <c r="D15" s="38" t="str">
        <f>'EB2'!J2</f>
        <v>GSL</v>
      </c>
      <c r="E15" s="78">
        <f>'EB2'!J$13/SUM('EB2'!$G$13:$M$13)</f>
        <v>0.21413371957984778</v>
      </c>
      <c r="F15" s="50"/>
      <c r="G15" s="38"/>
      <c r="H15" s="38"/>
      <c r="I15" s="38"/>
      <c r="J15" s="5"/>
      <c r="K15" s="5"/>
      <c r="L15" s="5"/>
      <c r="M15" s="24"/>
      <c r="N15" s="5"/>
      <c r="O15" s="5"/>
      <c r="P15" s="5"/>
      <c r="Q15" s="5"/>
      <c r="R15" s="5"/>
    </row>
    <row r="16" spans="2:18">
      <c r="B16" s="38"/>
      <c r="C16" s="38"/>
      <c r="D16" s="38" t="str">
        <f>'EB2'!K2</f>
        <v>NAP</v>
      </c>
      <c r="E16" s="78">
        <f>'EB2'!K$13/SUM('EB2'!$G$13:$M$13)</f>
        <v>6.1930500264594526E-2</v>
      </c>
      <c r="F16" s="50"/>
      <c r="G16" s="38"/>
      <c r="H16" s="38"/>
      <c r="I16" s="38"/>
      <c r="J16" s="5"/>
      <c r="K16" s="5"/>
      <c r="L16" s="5"/>
      <c r="M16" s="24"/>
      <c r="N16" s="5"/>
      <c r="O16" s="5"/>
      <c r="P16" s="11"/>
      <c r="Q16" s="5"/>
      <c r="R16" s="5"/>
    </row>
    <row r="17" spans="2:18">
      <c r="B17" s="38"/>
      <c r="C17" s="38"/>
      <c r="D17" s="38" t="str">
        <f>'EB2'!L2</f>
        <v>HFO</v>
      </c>
      <c r="E17" s="78">
        <f>'EB2'!L$13/SUM('EB2'!$G$13:$M$13)</f>
        <v>0.1458510359971735</v>
      </c>
      <c r="F17" s="50"/>
      <c r="G17" s="38"/>
      <c r="H17" s="38"/>
      <c r="I17" s="38"/>
      <c r="J17" s="5"/>
      <c r="K17" s="5"/>
      <c r="L17" s="5"/>
      <c r="M17" s="5"/>
      <c r="N17" s="5"/>
      <c r="O17" s="5"/>
      <c r="P17" s="11"/>
      <c r="Q17" s="5"/>
      <c r="R17" s="5"/>
    </row>
    <row r="18" spans="2:18">
      <c r="B18" s="38"/>
      <c r="C18" s="38"/>
      <c r="D18" s="38" t="str">
        <f>'EB2'!M2</f>
        <v>OPP</v>
      </c>
      <c r="E18" s="78">
        <f>'EB2'!M$13/SUM('EB2'!$G$13:$M$13)</f>
        <v>8.2971493171572083E-2</v>
      </c>
      <c r="F18" s="50"/>
      <c r="G18" s="51"/>
      <c r="H18" s="51"/>
      <c r="I18" s="38"/>
      <c r="J18" s="5"/>
      <c r="K18" s="5"/>
      <c r="L18" s="5"/>
      <c r="M18" s="5"/>
      <c r="N18" s="5"/>
      <c r="O18" s="5"/>
      <c r="P18" s="5"/>
      <c r="Q18" s="5"/>
      <c r="R18" s="5"/>
    </row>
    <row r="19" spans="2:18">
      <c r="B19" s="38"/>
      <c r="C19" s="38"/>
      <c r="D19" s="38"/>
      <c r="E19" s="51"/>
      <c r="F19" s="38"/>
      <c r="G19" s="38"/>
      <c r="H19" s="38"/>
      <c r="I19" s="38"/>
      <c r="J19" s="5"/>
      <c r="K19" s="5"/>
      <c r="L19" s="5"/>
      <c r="M19" s="5"/>
      <c r="N19" s="5"/>
      <c r="O19" s="5"/>
      <c r="P19" s="5"/>
      <c r="Q19" s="5"/>
      <c r="R19" s="5"/>
    </row>
    <row r="20" spans="2:18">
      <c r="E20" s="52"/>
      <c r="I20" s="38"/>
      <c r="J20" s="5"/>
      <c r="K20" s="5"/>
      <c r="L20" s="5"/>
      <c r="M20" s="5"/>
      <c r="N20" s="5"/>
      <c r="O20" s="5"/>
      <c r="P20" s="5"/>
      <c r="Q20" s="5"/>
      <c r="R20" s="5"/>
    </row>
    <row r="23" spans="2:18">
      <c r="B23" s="67"/>
      <c r="C23" s="1" t="s">
        <v>124</v>
      </c>
    </row>
    <row r="24" spans="2:18">
      <c r="B24" s="73"/>
      <c r="C24" s="1" t="s">
        <v>125</v>
      </c>
    </row>
  </sheetData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R11"/>
  <sheetViews>
    <sheetView workbookViewId="0">
      <selection activeCell="E37" sqref="E36:E37"/>
    </sheetView>
  </sheetViews>
  <sheetFormatPr baseColWidth="10" defaultRowHeight="13"/>
  <cols>
    <col min="1" max="1" width="8.83203125" customWidth="1"/>
    <col min="2" max="2" width="11.33203125" bestFit="1" customWidth="1"/>
    <col min="3" max="4" width="8.83203125" customWidth="1"/>
    <col min="5" max="5" width="11.1640625" bestFit="1" customWidth="1"/>
    <col min="6" max="9" width="8.83203125" customWidth="1"/>
    <col min="10" max="10" width="12.6640625" customWidth="1"/>
    <col min="11" max="14" width="8.83203125" customWidth="1"/>
    <col min="15" max="15" width="11.1640625" customWidth="1"/>
    <col min="16" max="256" width="8.83203125" customWidth="1"/>
  </cols>
  <sheetData>
    <row r="3" spans="2:18">
      <c r="B3" s="46" t="s">
        <v>142</v>
      </c>
      <c r="C3" s="35"/>
      <c r="D3" s="35"/>
      <c r="E3" s="35"/>
      <c r="F3" s="35"/>
      <c r="G3" s="35"/>
      <c r="H3" s="35"/>
    </row>
    <row r="4" spans="2:18" ht="14" thickBot="1">
      <c r="B4" s="109" t="s">
        <v>0</v>
      </c>
      <c r="C4" s="112" t="s">
        <v>143</v>
      </c>
      <c r="D4" s="112" t="s">
        <v>144</v>
      </c>
      <c r="E4" s="112" t="s">
        <v>145</v>
      </c>
      <c r="F4" s="112" t="s">
        <v>146</v>
      </c>
      <c r="G4" s="112" t="s">
        <v>147</v>
      </c>
      <c r="H4" s="112" t="s">
        <v>148</v>
      </c>
    </row>
    <row r="5" spans="2:18" ht="14">
      <c r="B5" s="110" t="s">
        <v>149</v>
      </c>
      <c r="C5" s="111">
        <v>1</v>
      </c>
      <c r="D5" s="5">
        <v>1</v>
      </c>
      <c r="E5" s="5">
        <v>1</v>
      </c>
      <c r="F5" s="5">
        <v>1</v>
      </c>
      <c r="G5" s="5">
        <v>1</v>
      </c>
      <c r="H5" s="5">
        <v>1</v>
      </c>
    </row>
    <row r="7" spans="2:18">
      <c r="J7" s="11"/>
      <c r="K7" s="5"/>
      <c r="L7" s="11"/>
      <c r="M7" s="11"/>
      <c r="N7" s="11"/>
      <c r="O7" s="11"/>
      <c r="P7" s="11"/>
      <c r="Q7" s="11"/>
      <c r="R7" s="11"/>
    </row>
    <row r="8" spans="2:18">
      <c r="B8" s="113" t="s">
        <v>14</v>
      </c>
      <c r="C8" s="113"/>
      <c r="D8" s="114"/>
      <c r="E8" s="114"/>
      <c r="F8" s="114"/>
      <c r="G8" s="114"/>
      <c r="H8" s="114"/>
      <c r="I8" s="114"/>
      <c r="J8" s="114"/>
    </row>
    <row r="9" spans="2:18">
      <c r="B9" s="115" t="s">
        <v>7</v>
      </c>
      <c r="C9" s="116" t="s">
        <v>30</v>
      </c>
      <c r="D9" s="115" t="s">
        <v>0</v>
      </c>
      <c r="E9" s="115" t="s">
        <v>3</v>
      </c>
      <c r="F9" s="115" t="s">
        <v>4</v>
      </c>
      <c r="G9" s="115" t="s">
        <v>8</v>
      </c>
      <c r="H9" s="115" t="s">
        <v>9</v>
      </c>
      <c r="I9" s="115" t="s">
        <v>10</v>
      </c>
      <c r="J9" s="115" t="s">
        <v>12</v>
      </c>
    </row>
    <row r="10" spans="2:18" ht="25" thickBot="1">
      <c r="B10" s="117" t="s">
        <v>37</v>
      </c>
      <c r="C10" s="117" t="s">
        <v>31</v>
      </c>
      <c r="D10" s="117" t="s">
        <v>26</v>
      </c>
      <c r="E10" s="117" t="s">
        <v>27</v>
      </c>
      <c r="F10" s="117" t="s">
        <v>4</v>
      </c>
      <c r="G10" s="117" t="s">
        <v>40</v>
      </c>
      <c r="H10" s="117" t="s">
        <v>41</v>
      </c>
      <c r="I10" s="117" t="s">
        <v>28</v>
      </c>
      <c r="J10" s="117" t="s">
        <v>29</v>
      </c>
    </row>
    <row r="11" spans="2:18">
      <c r="B11" s="118" t="s">
        <v>150</v>
      </c>
      <c r="C11" s="119"/>
      <c r="D11" s="118" t="str">
        <f>B5</f>
        <v>TOTCO2</v>
      </c>
      <c r="E11" s="118" t="s">
        <v>151</v>
      </c>
      <c r="F11" s="118" t="str">
        <f>'EB2'!AA2</f>
        <v>kt</v>
      </c>
      <c r="G11" s="118"/>
      <c r="H11" s="118"/>
      <c r="I11" s="118"/>
      <c r="J11" s="118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EB2</vt:lpstr>
      <vt:lpstr>RES_PRI</vt:lpstr>
      <vt:lpstr>Pri_COA</vt:lpstr>
      <vt:lpstr>Pri_GAS</vt:lpstr>
      <vt:lpstr>Pri_OIL</vt:lpstr>
      <vt:lpstr>Pri_RNW</vt:lpstr>
      <vt:lpstr>Pri_NUC</vt:lpstr>
      <vt:lpstr>Pri_PP</vt:lpstr>
      <vt:lpstr>Pri_ELC</vt:lpstr>
      <vt:lpstr>Con_REF</vt:lpstr>
      <vt:lpstr>TOTCO2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Kanudia</dc:creator>
  <cp:lastModifiedBy>Microsoft Office User</cp:lastModifiedBy>
  <cp:lastPrinted>2004-11-16T14:57:57Z</cp:lastPrinted>
  <dcterms:created xsi:type="dcterms:W3CDTF">2000-12-13T15:53:11Z</dcterms:created>
  <dcterms:modified xsi:type="dcterms:W3CDTF">2020-07-06T10:10:55Z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287487208843231</vt:r8>
  </property>
</Properties>
</file>