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E300A769-E069-4E49-8BE9-34EF7DE889BD}" xr6:coauthVersionLast="45" xr6:coauthVersionMax="45" xr10:uidLastSave="{00000000-0000-0000-0000-000000000000}"/>
  <bookViews>
    <workbookView xWindow="9560" yWindow="460" windowWidth="10000" windowHeight="10960" tabRatio="901" firstSheet="2" activeTab="4"/>
  </bookViews>
  <sheets>
    <sheet name="EB1" sheetId="133" r:id="rId1"/>
    <sheet name="RES_TRA" sheetId="135" r:id="rId2"/>
    <sheet name="Sector_Fuels_TRA" sheetId="152" r:id="rId3"/>
    <sheet name="DemTechs_TRA" sheetId="141" r:id="rId4"/>
    <sheet name="Demands" sheetId="134" r:id="rId5"/>
    <sheet name="Emi" sheetId="149" r:id="rId6"/>
  </sheets>
  <externalReferences>
    <externalReference r:id="rId7"/>
    <externalReference r:id="rId8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3" i="141" l="1"/>
  <c r="T17" i="141"/>
  <c r="O26" i="133"/>
  <c r="E23" i="141" s="1"/>
  <c r="M23" i="141" s="1"/>
  <c r="D5" i="133"/>
  <c r="E5" i="133"/>
  <c r="F5" i="133"/>
  <c r="G5" i="133"/>
  <c r="V5" i="133" s="1"/>
  <c r="H5" i="133"/>
  <c r="H13" i="133" s="1"/>
  <c r="I5" i="133"/>
  <c r="I13" i="133" s="1"/>
  <c r="J5" i="133"/>
  <c r="K5" i="133"/>
  <c r="L5" i="133"/>
  <c r="M5" i="133"/>
  <c r="N5" i="133"/>
  <c r="O5" i="133"/>
  <c r="P5" i="133"/>
  <c r="Q5" i="133"/>
  <c r="R5" i="133"/>
  <c r="S5" i="133"/>
  <c r="T5" i="133"/>
  <c r="T13" i="133" s="1"/>
  <c r="U5" i="133"/>
  <c r="D6" i="133"/>
  <c r="D13" i="133" s="1"/>
  <c r="E6" i="133"/>
  <c r="E13" i="133"/>
  <c r="F6" i="133"/>
  <c r="G6" i="133"/>
  <c r="H6" i="133"/>
  <c r="I6" i="133"/>
  <c r="J6" i="133"/>
  <c r="K6" i="133"/>
  <c r="L6" i="133"/>
  <c r="L13" i="133" s="1"/>
  <c r="M6" i="133"/>
  <c r="N6" i="133"/>
  <c r="O6" i="133"/>
  <c r="P6" i="133"/>
  <c r="Q6" i="133"/>
  <c r="R6" i="133"/>
  <c r="S6" i="133"/>
  <c r="S13" i="133" s="1"/>
  <c r="T6" i="133"/>
  <c r="U6" i="133"/>
  <c r="D7" i="133"/>
  <c r="E7" i="133"/>
  <c r="F7" i="133"/>
  <c r="V7" i="133" s="1"/>
  <c r="G7" i="133"/>
  <c r="H7" i="133"/>
  <c r="I7" i="133"/>
  <c r="J7" i="133"/>
  <c r="K7" i="133"/>
  <c r="L7" i="133"/>
  <c r="M7" i="133"/>
  <c r="N7" i="133"/>
  <c r="O7" i="133"/>
  <c r="P7" i="133"/>
  <c r="Q7" i="133"/>
  <c r="R7" i="133"/>
  <c r="S7" i="133"/>
  <c r="T7" i="133"/>
  <c r="U7" i="133"/>
  <c r="U13" i="133" s="1"/>
  <c r="D8" i="133"/>
  <c r="V8" i="133" s="1"/>
  <c r="E8" i="133"/>
  <c r="F8" i="133"/>
  <c r="G8" i="133"/>
  <c r="H8" i="133"/>
  <c r="I8" i="133"/>
  <c r="J8" i="133"/>
  <c r="K8" i="133"/>
  <c r="L8" i="133"/>
  <c r="M8" i="133"/>
  <c r="N8" i="133"/>
  <c r="O8" i="133"/>
  <c r="P8" i="133"/>
  <c r="Q8" i="133"/>
  <c r="R8" i="133"/>
  <c r="S8" i="133"/>
  <c r="T8" i="133"/>
  <c r="U8" i="133"/>
  <c r="D9" i="133"/>
  <c r="E9" i="133"/>
  <c r="E13" i="141"/>
  <c r="M13" i="141" s="1"/>
  <c r="E9" i="134" s="1"/>
  <c r="F9" i="133"/>
  <c r="V9" i="133" s="1"/>
  <c r="G9" i="133"/>
  <c r="E20" i="141" s="1"/>
  <c r="M20" i="141" s="1"/>
  <c r="E14" i="141"/>
  <c r="M14" i="141" s="1"/>
  <c r="H9" i="133"/>
  <c r="I9" i="133"/>
  <c r="E15" i="141"/>
  <c r="M15" i="141" s="1"/>
  <c r="J9" i="133"/>
  <c r="E22" i="141"/>
  <c r="M22" i="141"/>
  <c r="K9" i="133"/>
  <c r="L9" i="133"/>
  <c r="M9" i="133"/>
  <c r="N9" i="133"/>
  <c r="O9" i="133"/>
  <c r="P9" i="133"/>
  <c r="Q9" i="133"/>
  <c r="R9" i="133"/>
  <c r="S9" i="133"/>
  <c r="T9" i="133"/>
  <c r="U9" i="133"/>
  <c r="E18" i="141"/>
  <c r="M18" i="141"/>
  <c r="D10" i="133"/>
  <c r="V10" i="133" s="1"/>
  <c r="E10" i="133"/>
  <c r="F10" i="133"/>
  <c r="G10" i="133"/>
  <c r="H10" i="133"/>
  <c r="I10" i="133"/>
  <c r="J10" i="133"/>
  <c r="K10" i="133"/>
  <c r="L10" i="133"/>
  <c r="M10" i="133"/>
  <c r="N10" i="133"/>
  <c r="O10" i="133"/>
  <c r="P10" i="133"/>
  <c r="Q10" i="133"/>
  <c r="R10" i="133"/>
  <c r="S10" i="133"/>
  <c r="T10" i="133"/>
  <c r="U10" i="133"/>
  <c r="D11" i="133"/>
  <c r="E11" i="133"/>
  <c r="F11" i="133"/>
  <c r="G11" i="133"/>
  <c r="H11" i="133"/>
  <c r="I11" i="133"/>
  <c r="J11" i="133"/>
  <c r="K11" i="133"/>
  <c r="L11" i="133"/>
  <c r="M11" i="133"/>
  <c r="N11" i="133"/>
  <c r="O11" i="133"/>
  <c r="O13" i="133" s="1"/>
  <c r="P11" i="133"/>
  <c r="Q11" i="133"/>
  <c r="R11" i="133"/>
  <c r="S11" i="133"/>
  <c r="T11" i="133"/>
  <c r="U11" i="133"/>
  <c r="D12" i="133"/>
  <c r="E12" i="133"/>
  <c r="F12" i="133"/>
  <c r="F13" i="133" s="1"/>
  <c r="G12" i="133"/>
  <c r="H12" i="133"/>
  <c r="I12" i="133"/>
  <c r="J12" i="133"/>
  <c r="K12" i="133"/>
  <c r="L12" i="133"/>
  <c r="M12" i="133"/>
  <c r="M13" i="133" s="1"/>
  <c r="N12" i="133"/>
  <c r="O12" i="133"/>
  <c r="P12" i="133"/>
  <c r="Q12" i="133"/>
  <c r="R12" i="133"/>
  <c r="S12" i="133"/>
  <c r="T12" i="133"/>
  <c r="U12" i="133"/>
  <c r="E26" i="133"/>
  <c r="E19" i="141" s="1"/>
  <c r="M19" i="141" s="1"/>
  <c r="E10" i="134" s="1"/>
  <c r="G26" i="133"/>
  <c r="I26" i="133"/>
  <c r="J26" i="133"/>
  <c r="U26" i="133"/>
  <c r="F2" i="152"/>
  <c r="E2" i="152"/>
  <c r="N6" i="152" s="1"/>
  <c r="O21" i="152"/>
  <c r="T24" i="141"/>
  <c r="T22" i="141"/>
  <c r="T21" i="141"/>
  <c r="T20" i="141"/>
  <c r="T19" i="141"/>
  <c r="T18" i="141"/>
  <c r="T13" i="141"/>
  <c r="E2" i="134"/>
  <c r="E8" i="134"/>
  <c r="S7" i="141"/>
  <c r="C2" i="152"/>
  <c r="M9" i="152" s="1"/>
  <c r="M20" i="152" s="1"/>
  <c r="M5" i="152"/>
  <c r="M16" i="152"/>
  <c r="M10" i="152"/>
  <c r="M21" i="152"/>
  <c r="B2" i="152"/>
  <c r="L7" i="152" s="1"/>
  <c r="T16" i="141"/>
  <c r="T15" i="141"/>
  <c r="T14" i="141"/>
  <c r="E12" i="141"/>
  <c r="E2" i="141"/>
  <c r="C2" i="141"/>
  <c r="R23" i="141"/>
  <c r="B2" i="141"/>
  <c r="Q13" i="141" s="1"/>
  <c r="B13" i="141" s="1"/>
  <c r="C13" i="141" s="1"/>
  <c r="Q21" i="141"/>
  <c r="B21" i="141"/>
  <c r="F2" i="141"/>
  <c r="I12" i="141" s="1"/>
  <c r="G2" i="134"/>
  <c r="L6" i="152"/>
  <c r="D17" i="152"/>
  <c r="C17" i="152"/>
  <c r="D6" i="149"/>
  <c r="L5" i="152"/>
  <c r="C6" i="149"/>
  <c r="L8" i="152"/>
  <c r="D19" i="152" s="1"/>
  <c r="C19" i="152" s="1"/>
  <c r="Q20" i="141"/>
  <c r="B20" i="141"/>
  <c r="C20" i="141" s="1"/>
  <c r="R14" i="141"/>
  <c r="Q7" i="141"/>
  <c r="B8" i="149"/>
  <c r="L19" i="152"/>
  <c r="B19" i="152"/>
  <c r="F6" i="149"/>
  <c r="M6" i="152"/>
  <c r="M17" i="152"/>
  <c r="M7" i="152"/>
  <c r="M18" i="152"/>
  <c r="Q5" i="141"/>
  <c r="D14" i="141" s="1"/>
  <c r="H11" i="134"/>
  <c r="D16" i="141"/>
  <c r="M8" i="152"/>
  <c r="M19" i="152" s="1"/>
  <c r="Q23" i="141"/>
  <c r="B23" i="141"/>
  <c r="F15" i="152"/>
  <c r="O17" i="152"/>
  <c r="R13" i="141"/>
  <c r="R15" i="141"/>
  <c r="O18" i="152"/>
  <c r="R21" i="141"/>
  <c r="N9" i="152"/>
  <c r="R24" i="141"/>
  <c r="R16" i="141"/>
  <c r="R5" i="141"/>
  <c r="Q16" i="141"/>
  <c r="B16" i="141"/>
  <c r="C16" i="141" s="1"/>
  <c r="Q14" i="141"/>
  <c r="B14" i="141"/>
  <c r="C14" i="141" s="1"/>
  <c r="R20" i="141"/>
  <c r="O20" i="152"/>
  <c r="R6" i="141"/>
  <c r="R22" i="141"/>
  <c r="R19" i="141"/>
  <c r="N8" i="152"/>
  <c r="R7" i="141"/>
  <c r="D16" i="152"/>
  <c r="C16" i="152" s="1"/>
  <c r="R17" i="141"/>
  <c r="R18" i="141"/>
  <c r="G13" i="133"/>
  <c r="N13" i="133"/>
  <c r="E16" i="141"/>
  <c r="M16" i="141" s="1"/>
  <c r="V11" i="133"/>
  <c r="K13" i="133"/>
  <c r="J13" i="133"/>
  <c r="L16" i="152"/>
  <c r="B16" i="152"/>
  <c r="L17" i="152"/>
  <c r="B17" i="152" s="1"/>
  <c r="C9" i="134"/>
  <c r="D13" i="141"/>
  <c r="H12" i="134"/>
  <c r="Q15" i="141"/>
  <c r="B15" i="141" s="1"/>
  <c r="C15" i="141" s="1"/>
  <c r="Q6" i="141"/>
  <c r="D20" i="141" s="1"/>
  <c r="C21" i="141"/>
  <c r="Q18" i="141"/>
  <c r="B18" i="141" s="1"/>
  <c r="C18" i="141" s="1"/>
  <c r="D15" i="141"/>
  <c r="C23" i="141"/>
  <c r="Q24" i="141"/>
  <c r="B24" i="141" s="1"/>
  <c r="C24" i="141" s="1"/>
  <c r="Q19" i="141"/>
  <c r="B19" i="141"/>
  <c r="C19" i="141"/>
  <c r="H14" i="134"/>
  <c r="D21" i="141"/>
  <c r="D22" i="141"/>
  <c r="D19" i="141"/>
  <c r="H16" i="134"/>
  <c r="H15" i="134"/>
  <c r="H13" i="134"/>
  <c r="D24" i="141"/>
  <c r="E24" i="141"/>
  <c r="M24" i="141"/>
  <c r="E21" i="141"/>
  <c r="M21" i="141" s="1"/>
  <c r="E17" i="141"/>
  <c r="M17" i="141" s="1"/>
  <c r="E6" i="149" l="1"/>
  <c r="L18" i="152"/>
  <c r="B18" i="152" s="1"/>
  <c r="D18" i="152"/>
  <c r="C18" i="152" s="1"/>
  <c r="V12" i="133"/>
  <c r="H10" i="134"/>
  <c r="O16" i="152"/>
  <c r="H9" i="134"/>
  <c r="N10" i="152"/>
  <c r="D18" i="141"/>
  <c r="L9" i="152"/>
  <c r="D23" i="141"/>
  <c r="N18" i="152"/>
  <c r="D17" i="141"/>
  <c r="N16" i="152"/>
  <c r="N20" i="152"/>
  <c r="N19" i="152"/>
  <c r="Q22" i="141"/>
  <c r="B22" i="141" s="1"/>
  <c r="C22" i="141" s="1"/>
  <c r="L10" i="152"/>
  <c r="V6" i="133"/>
  <c r="V13" i="133" s="1"/>
  <c r="N5" i="152"/>
  <c r="O19" i="152"/>
  <c r="C10" i="134"/>
  <c r="N7" i="152"/>
  <c r="N21" i="152"/>
  <c r="Q17" i="141"/>
  <c r="B17" i="141" s="1"/>
  <c r="C17" i="141" s="1"/>
  <c r="N17" i="152"/>
  <c r="L21" i="152" l="1"/>
  <c r="B21" i="152" s="1"/>
  <c r="D21" i="152"/>
  <c r="C21" i="152" s="1"/>
  <c r="D20" i="152"/>
  <c r="C20" i="152" s="1"/>
  <c r="L20" i="152"/>
  <c r="B20" i="152" s="1"/>
</calcChain>
</file>

<file path=xl/comments1.xml><?xml version="1.0" encoding="utf-8"?>
<comments xmlns="http://schemas.openxmlformats.org/spreadsheetml/2006/main">
  <authors>
    <author>Maurizio Gargiulo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O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T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U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V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W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U10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V10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W10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O11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<sst xmlns="http://schemas.openxmlformats.org/spreadsheetml/2006/main" count="338" uniqueCount="185">
  <si>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</si>
  <si>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</si>
  <si>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</si>
  <si>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</si>
  <si>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</si>
  <si>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</si>
  <si>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</si>
  <si>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</si>
  <si>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</si>
  <si>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</si>
  <si>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</si>
  <si>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</si>
  <si>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</si>
  <si>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</si>
  <si>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</si>
  <si>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</si>
  <si>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</si>
  <si>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</si>
  <si>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</si>
  <si>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</si>
  <si>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</si>
  <si>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</si>
  <si>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</si>
  <si>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</si>
  <si>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</si>
  <si>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</si>
  <si>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</si>
  <si>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</si>
  <si>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</si>
  <si>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</si>
  <si>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</si>
  <si>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</si>
  <si>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</si>
  <si>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</si>
  <si>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</si>
  <si>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Demand</t>
  </si>
  <si>
    <t>Demand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</si>
  <si>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</si>
  <si>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</si>
  <si>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</si>
  <si>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</si>
  <si>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</si>
  <si>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</si>
  <si>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</si>
  <si>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</si>
  <si>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</si>
  <si>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</si>
  <si>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</si>
  <si>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</si>
  <si>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</si>
  <si>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</si>
  <si>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</si>
  <si>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</si>
  <si>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</si>
  <si>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</si>
  <si>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</si>
  <si>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</si>
  <si>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FINAL</t>
  </si>
  <si>
    <t>RSD</t>
  </si>
  <si>
    <t>Residential</t>
  </si>
  <si>
    <t>COM</t>
  </si>
  <si>
    <t>Commercial</t>
  </si>
  <si>
    <t>IND</t>
  </si>
  <si>
    <t>Industry</t>
  </si>
  <si>
    <t>AGR</t>
  </si>
  <si>
    <t>Agriculture</t>
  </si>
  <si>
    <t>TRA</t>
  </si>
  <si>
    <t>Transport</t>
  </si>
  <si>
    <t>OTH</t>
  </si>
  <si>
    <t>Other</t>
  </si>
  <si>
    <t>Non Energy</t>
  </si>
  <si>
    <t>Bunkers</t>
  </si>
  <si>
    <t>NRG</t>
  </si>
  <si>
    <t>Sector Name</t>
  </si>
  <si>
    <t>Commodity</t>
  </si>
  <si>
    <t>Description</t>
  </si>
  <si>
    <t>PJ</t>
  </si>
  <si>
    <t>Default Unit</t>
  </si>
  <si>
    <t>Currency Unit</t>
  </si>
  <si>
    <t>LIFE</t>
  </si>
  <si>
    <t>Attribute</t>
  </si>
  <si>
    <t>*</t>
  </si>
  <si>
    <t>Demand Commodity Name</t>
  </si>
  <si>
    <t>DEM</t>
  </si>
  <si>
    <t>FIXOM</t>
  </si>
  <si>
    <t>EFF</t>
  </si>
  <si>
    <t>NEN</t>
  </si>
  <si>
    <t>BNK</t>
  </si>
  <si>
    <t>Electricity</t>
  </si>
  <si>
    <t>TFC</t>
  </si>
  <si>
    <t>Efficiency</t>
  </si>
  <si>
    <t>*Units</t>
  </si>
  <si>
    <t>Years</t>
  </si>
  <si>
    <t>Default Units</t>
  </si>
  <si>
    <t>Currency</t>
  </si>
  <si>
    <t>Activity</t>
  </si>
  <si>
    <t>Fixed O&amp;M Cost</t>
  </si>
  <si>
    <t>DMD</t>
  </si>
  <si>
    <t>AFA</t>
  </si>
  <si>
    <t>Utilisation Factor</t>
  </si>
  <si>
    <t>Existing</t>
  </si>
  <si>
    <t>E</t>
  </si>
  <si>
    <t>Sector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</si>
  <si>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</si>
  <si>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</si>
  <si>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</si>
  <si>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</si>
  <si>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</si>
  <si>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</si>
  <si>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</si>
  <si>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</si>
  <si>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</si>
  <si>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</si>
  <si>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</si>
  <si>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</si>
  <si>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Demand Technologies</t>
  </si>
  <si>
    <t>Break-out by end-use</t>
  </si>
  <si>
    <t>Emission by sector</t>
  </si>
  <si>
    <t>CALIBRATION</t>
  </si>
  <si>
    <t>Timeslices</t>
  </si>
  <si>
    <t>COM_FR</t>
  </si>
  <si>
    <t>SD</t>
  </si>
  <si>
    <t>SN</t>
  </si>
  <si>
    <t>WD</t>
  </si>
  <si>
    <t>WN</t>
  </si>
  <si>
    <t>DAYNITE</t>
  </si>
  <si>
    <t>REG1</t>
  </si>
  <si>
    <t>STOCK</t>
  </si>
  <si>
    <t>Crude oil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</si>
  <si>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</si>
  <si>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</si>
  <si>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</si>
  <si>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</si>
  <si>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</si>
  <si>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</si>
  <si>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</si>
  <si>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</si>
  <si>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</si>
  <si>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</si>
  <si>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</si>
  <si>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</si>
  <si>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Diesel oil</t>
  </si>
  <si>
    <t>Cars</t>
  </si>
  <si>
    <t>Capacity</t>
  </si>
  <si>
    <t>000_Units</t>
  </si>
  <si>
    <t>DEMO</t>
  </si>
  <si>
    <t>ACTFLO~DEMO</t>
  </si>
  <si>
    <t>Passenger/Car</t>
  </si>
  <si>
    <t>Activity to Flo</t>
  </si>
  <si>
    <t>Dynamic coefficients for combustion emissions in transport</t>
  </si>
  <si>
    <t>~COMEMI</t>
  </si>
  <si>
    <t>'000 km</t>
  </si>
  <si>
    <t>*Unit</t>
  </si>
  <si>
    <t>Demand Unit</t>
  </si>
  <si>
    <t>Input Share</t>
  </si>
  <si>
    <t>Share-I~UP</t>
  </si>
  <si>
    <t>M€2005</t>
  </si>
  <si>
    <t>Data used in the template to buld the model</t>
  </si>
  <si>
    <t>kt/PJ</t>
  </si>
  <si>
    <t>User inputs</t>
  </si>
  <si>
    <t>Linked to the Energy Balance</t>
  </si>
  <si>
    <t>Reference Energy System (from VEDA-FE Go-To RES feature)</t>
  </si>
  <si>
    <t>Total Final Consumption</t>
  </si>
  <si>
    <t>Pub</t>
  </si>
  <si>
    <t>CAR</t>
  </si>
  <si>
    <t>PUB</t>
  </si>
  <si>
    <t>Transport Demand Sectors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</si>
  <si>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</si>
  <si>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</si>
  <si>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</si>
  <si>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</si>
  <si>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</si>
  <si>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</si>
  <si>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</si>
  <si>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</si>
  <si>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TOT</t>
  </si>
  <si>
    <t>Biofuels</t>
  </si>
  <si>
    <t>Lifetime</t>
  </si>
  <si>
    <t>CAP2ACT</t>
  </si>
  <si>
    <t>Capacity to Activity Factor</t>
  </si>
  <si>
    <t>BV*km/PJ</t>
  </si>
  <si>
    <t>bvkm/mvkm</t>
  </si>
  <si>
    <t>BPass*km</t>
  </si>
  <si>
    <t>BPkm</t>
  </si>
  <si>
    <t>Bpass*km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</si>
</sst>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1" formatCode="_-* #,##0.00_-;\-* #,##0.00_-;_-* &quot;-&quot;??_-;_-@_-"/>
    <numFmt numFmtId="178" formatCode="0.000"/>
    <numFmt numFmtId="179" formatCode="General_)"/>
    <numFmt numFmtId="187" formatCode="\Te\x\t"/>
  </numFmts>
  <fonts count="32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sz val="14"/>
      <color indexed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3">
    <xf numFmtId="0" fontId="0" fillId="0" borderId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0" fillId="8" borderId="18" applyNumberFormat="0" applyAlignment="0" applyProtection="0"/>
    <xf numFmtId="171" fontId="18" fillId="0" borderId="0" applyFont="0" applyFill="0" applyBorder="0" applyAlignment="0" applyProtection="0"/>
    <xf numFmtId="0" fontId="21" fillId="9" borderId="0" applyNumberFormat="0" applyBorder="0" applyAlignment="0" applyProtection="0"/>
    <xf numFmtId="0" fontId="22" fillId="10" borderId="18" applyNumberFormat="0" applyAlignment="0" applyProtection="0"/>
    <xf numFmtId="0" fontId="23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4" fillId="0" borderId="0"/>
  </cellStyleXfs>
  <cellXfs count="151">
    <xf numFmtId="0" fontId="0" fillId="0" borderId="0" xfId="0"/>
    <xf numFmtId="0" fontId="4" fillId="0" borderId="0" xfId="0" applyFont="1"/>
    <xf numFmtId="0" fontId="3" fillId="2" borderId="1" xfId="0" applyFont="1" applyFill="1" applyBorder="1" applyAlignment="1">
      <alignment vertical="center"/>
    </xf>
    <xf numFmtId="0" fontId="5" fillId="0" borderId="0" xfId="0" applyFont="1" applyFill="1"/>
    <xf numFmtId="0" fontId="4" fillId="0" borderId="0" xfId="12" applyFill="1" applyBorder="1" applyAlignment="1">
      <alignment horizontal="right"/>
    </xf>
    <xf numFmtId="0" fontId="5" fillId="0" borderId="0" xfId="12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2" xfId="0" applyBorder="1" applyAlignment="1"/>
    <xf numFmtId="1" fontId="0" fillId="0" borderId="0" xfId="0" applyNumberFormat="1"/>
    <xf numFmtId="0" fontId="4" fillId="0" borderId="0" xfId="0" applyFont="1" applyFill="1" applyBorder="1"/>
    <xf numFmtId="0" fontId="19" fillId="7" borderId="0" xfId="4"/>
    <xf numFmtId="0" fontId="24" fillId="0" borderId="0" xfId="7" applyFont="1" applyFill="1"/>
    <xf numFmtId="0" fontId="24" fillId="12" borderId="0" xfId="7" applyFont="1" applyFill="1"/>
    <xf numFmtId="0" fontId="4" fillId="0" borderId="0" xfId="9" applyFont="1" applyFill="1"/>
    <xf numFmtId="1" fontId="4" fillId="0" borderId="0" xfId="0" applyNumberFormat="1" applyFont="1" applyFill="1"/>
    <xf numFmtId="0" fontId="25" fillId="4" borderId="3" xfId="1" applyFont="1" applyBorder="1" applyAlignment="1">
      <alignment horizontal="center" wrapText="1"/>
    </xf>
    <xf numFmtId="0" fontId="26" fillId="0" borderId="0" xfId="0" applyFont="1" applyFill="1" applyBorder="1"/>
    <xf numFmtId="0" fontId="25" fillId="4" borderId="3" xfId="1" applyFont="1" applyBorder="1" applyAlignment="1">
      <alignment horizontal="left" wrapText="1"/>
    </xf>
    <xf numFmtId="0" fontId="25" fillId="4" borderId="1" xfId="1" applyFont="1" applyBorder="1" applyAlignment="1">
      <alignment horizontal="left" wrapText="1"/>
    </xf>
    <xf numFmtId="0" fontId="3" fillId="2" borderId="1" xfId="12" applyFont="1" applyFill="1" applyBorder="1" applyAlignment="1">
      <alignment horizontal="left" vertical="center"/>
    </xf>
    <xf numFmtId="0" fontId="24" fillId="12" borderId="0" xfId="7" applyFont="1" applyFill="1" applyAlignment="1">
      <alignment wrapText="1"/>
    </xf>
    <xf numFmtId="0" fontId="0" fillId="0" borderId="0" xfId="0" applyFill="1" applyAlignment="1">
      <alignment wrapText="1"/>
    </xf>
    <xf numFmtId="0" fontId="27" fillId="0" borderId="0" xfId="0" applyFont="1"/>
    <xf numFmtId="0" fontId="4" fillId="0" borderId="0" xfId="0" applyFont="1" applyBorder="1"/>
    <xf numFmtId="9" fontId="26" fillId="0" borderId="0" xfId="17" applyFont="1" applyBorder="1" applyAlignment="1"/>
    <xf numFmtId="0" fontId="0" fillId="0" borderId="2" xfId="0" applyBorder="1"/>
    <xf numFmtId="0" fontId="3" fillId="0" borderId="0" xfId="0" applyFont="1"/>
    <xf numFmtId="0" fontId="4" fillId="0" borderId="0" xfId="10"/>
    <xf numFmtId="0" fontId="4" fillId="0" borderId="0" xfId="10" applyFont="1"/>
    <xf numFmtId="0" fontId="4" fillId="0" borderId="0" xfId="10" applyFill="1"/>
    <xf numFmtId="0" fontId="4" fillId="0" borderId="0" xfId="10" applyFill="1" applyBorder="1"/>
    <xf numFmtId="0" fontId="4" fillId="0" borderId="0" xfId="10" applyBorder="1"/>
    <xf numFmtId="0" fontId="4" fillId="0" borderId="0" xfId="10" applyFill="1" applyBorder="1" applyAlignment="1">
      <alignment wrapText="1"/>
    </xf>
    <xf numFmtId="0" fontId="3" fillId="0" borderId="0" xfId="12" applyFont="1" applyFill="1" applyBorder="1" applyAlignment="1">
      <alignment horizontal="right" vertical="center" wrapText="1"/>
    </xf>
    <xf numFmtId="1" fontId="4" fillId="0" borderId="0" xfId="10" applyNumberFormat="1"/>
    <xf numFmtId="0" fontId="4" fillId="0" borderId="0" xfId="10" applyFont="1" applyBorder="1"/>
    <xf numFmtId="0" fontId="0" fillId="0" borderId="0" xfId="0" applyFill="1" applyBorder="1"/>
    <xf numFmtId="0" fontId="4" fillId="0" borderId="0" xfId="10" applyFont="1" applyFill="1"/>
    <xf numFmtId="0" fontId="4" fillId="0" borderId="2" xfId="0" applyFont="1" applyBorder="1"/>
    <xf numFmtId="0" fontId="4" fillId="0" borderId="2" xfId="10" applyFont="1" applyFill="1" applyBorder="1"/>
    <xf numFmtId="1" fontId="28" fillId="13" borderId="0" xfId="2" applyNumberFormat="1" applyFont="1" applyFill="1" applyBorder="1" applyAlignment="1">
      <alignment horizontal="right" wrapText="1"/>
    </xf>
    <xf numFmtId="0" fontId="19" fillId="0" borderId="0" xfId="4" applyFill="1"/>
    <xf numFmtId="0" fontId="24" fillId="12" borderId="0" xfId="7" quotePrefix="1" applyFont="1" applyFill="1"/>
    <xf numFmtId="0" fontId="25" fillId="0" borderId="0" xfId="1" applyFont="1" applyFill="1" applyBorder="1" applyAlignment="1">
      <alignment horizontal="right" wrapText="1"/>
    </xf>
    <xf numFmtId="0" fontId="5" fillId="0" borderId="0" xfId="0" applyFont="1" applyFill="1" applyAlignment="1">
      <alignment horizontal="left"/>
    </xf>
    <xf numFmtId="0" fontId="15" fillId="0" borderId="0" xfId="0" applyFont="1" applyFill="1"/>
    <xf numFmtId="0" fontId="15" fillId="3" borderId="0" xfId="0" quotePrefix="1" applyFont="1" applyFill="1" applyBorder="1" applyAlignment="1"/>
    <xf numFmtId="0" fontId="15" fillId="0" borderId="0" xfId="0" quotePrefix="1" applyFont="1" applyFill="1" applyBorder="1" applyAlignment="1"/>
    <xf numFmtId="0" fontId="3" fillId="0" borderId="0" xfId="12" applyFont="1" applyFill="1" applyBorder="1" applyAlignment="1">
      <alignment horizontal="left" vertical="center"/>
    </xf>
    <xf numFmtId="0" fontId="3" fillId="2" borderId="3" xfId="12" applyFont="1" applyFill="1" applyBorder="1" applyAlignment="1">
      <alignment horizontal="left" vertical="center"/>
    </xf>
    <xf numFmtId="0" fontId="29" fillId="0" borderId="0" xfId="0" applyFont="1" applyFill="1"/>
    <xf numFmtId="0" fontId="24" fillId="12" borderId="0" xfId="7" applyFont="1" applyFill="1" applyAlignment="1">
      <alignment horizontal="left"/>
    </xf>
    <xf numFmtId="0" fontId="29" fillId="14" borderId="2" xfId="0" applyFont="1" applyFill="1" applyBorder="1" applyAlignment="1">
      <alignment wrapText="1"/>
    </xf>
    <xf numFmtId="0" fontId="3" fillId="14" borderId="2" xfId="0" applyFont="1" applyFill="1" applyBorder="1" applyAlignment="1">
      <alignment wrapText="1"/>
    </xf>
    <xf numFmtId="0" fontId="29" fillId="14" borderId="0" xfId="0" applyFont="1" applyFill="1"/>
    <xf numFmtId="179" fontId="13" fillId="15" borderId="0" xfId="0" applyNumberFormat="1" applyFont="1" applyFill="1" applyBorder="1" applyAlignment="1">
      <alignment horizontal="left" vertical="center"/>
    </xf>
    <xf numFmtId="0" fontId="0" fillId="16" borderId="0" xfId="0" applyFill="1"/>
    <xf numFmtId="1" fontId="0" fillId="15" borderId="2" xfId="0" applyNumberFormat="1" applyFill="1" applyBorder="1" applyAlignment="1"/>
    <xf numFmtId="1" fontId="22" fillId="10" borderId="0" xfId="8" applyNumberFormat="1" applyBorder="1" applyAlignment="1"/>
    <xf numFmtId="1" fontId="20" fillId="8" borderId="4" xfId="5" applyNumberFormat="1" applyBorder="1" applyAlignment="1">
      <alignment horizontal="right"/>
    </xf>
    <xf numFmtId="1" fontId="20" fillId="8" borderId="5" xfId="5" applyNumberFormat="1" applyBorder="1" applyAlignment="1">
      <alignment horizontal="right"/>
    </xf>
    <xf numFmtId="179" fontId="20" fillId="8" borderId="6" xfId="5" applyNumberFormat="1" applyBorder="1" applyAlignment="1">
      <alignment horizontal="right" vertical="center"/>
    </xf>
    <xf numFmtId="179" fontId="13" fillId="15" borderId="7" xfId="0" applyNumberFormat="1" applyFont="1" applyFill="1" applyBorder="1" applyAlignment="1">
      <alignment horizontal="left" vertical="center"/>
    </xf>
    <xf numFmtId="179" fontId="13" fillId="15" borderId="8" xfId="0" applyNumberFormat="1" applyFont="1" applyFill="1" applyBorder="1" applyAlignment="1">
      <alignment horizontal="left" vertical="center"/>
    </xf>
    <xf numFmtId="179" fontId="13" fillId="15" borderId="9" xfId="0" applyNumberFormat="1" applyFont="1" applyFill="1" applyBorder="1" applyAlignment="1">
      <alignment horizontal="left" vertical="center"/>
    </xf>
    <xf numFmtId="179" fontId="13" fillId="15" borderId="10" xfId="0" applyNumberFormat="1" applyFont="1" applyFill="1" applyBorder="1" applyAlignment="1">
      <alignment horizontal="left" vertical="center"/>
    </xf>
    <xf numFmtId="179" fontId="13" fillId="15" borderId="1" xfId="0" applyNumberFormat="1" applyFont="1" applyFill="1" applyBorder="1" applyAlignment="1">
      <alignment horizontal="left" vertical="center"/>
    </xf>
    <xf numFmtId="179" fontId="13" fillId="15" borderId="11" xfId="0" applyNumberFormat="1" applyFont="1" applyFill="1" applyBorder="1" applyAlignment="1">
      <alignment horizontal="left" vertical="center"/>
    </xf>
    <xf numFmtId="0" fontId="27" fillId="0" borderId="6" xfId="0" applyFont="1" applyBorder="1" applyAlignment="1">
      <alignment horizontal="center"/>
    </xf>
    <xf numFmtId="0" fontId="29" fillId="14" borderId="12" xfId="0" applyFont="1" applyFill="1" applyBorder="1" applyAlignment="1">
      <alignment wrapText="1"/>
    </xf>
    <xf numFmtId="0" fontId="29" fillId="14" borderId="5" xfId="0" applyFont="1" applyFill="1" applyBorder="1" applyAlignment="1">
      <alignment wrapText="1"/>
    </xf>
    <xf numFmtId="0" fontId="29" fillId="14" borderId="6" xfId="0" applyFont="1" applyFill="1" applyBorder="1" applyAlignment="1">
      <alignment wrapText="1"/>
    </xf>
    <xf numFmtId="0" fontId="30" fillId="7" borderId="2" xfId="4" applyFont="1" applyBorder="1" applyAlignment="1">
      <alignment horizontal="left" vertical="center"/>
    </xf>
    <xf numFmtId="1" fontId="0" fillId="16" borderId="0" xfId="0" applyNumberFormat="1" applyFill="1"/>
    <xf numFmtId="1" fontId="0" fillId="17" borderId="0" xfId="0" applyNumberFormat="1" applyFill="1"/>
    <xf numFmtId="0" fontId="0" fillId="17" borderId="0" xfId="0" applyFill="1"/>
    <xf numFmtId="2" fontId="4" fillId="16" borderId="0" xfId="9" applyNumberFormat="1" applyFont="1" applyFill="1"/>
    <xf numFmtId="0" fontId="4" fillId="16" borderId="0" xfId="9" applyFont="1" applyFill="1"/>
    <xf numFmtId="2" fontId="0" fillId="16" borderId="0" xfId="0" applyNumberFormat="1" applyFill="1"/>
    <xf numFmtId="2" fontId="4" fillId="16" borderId="0" xfId="0" applyNumberFormat="1" applyFont="1" applyFill="1" applyBorder="1"/>
    <xf numFmtId="1" fontId="0" fillId="16" borderId="0" xfId="0" applyNumberFormat="1" applyFill="1" applyBorder="1"/>
    <xf numFmtId="178" fontId="0" fillId="16" borderId="0" xfId="0" applyNumberFormat="1" applyFill="1"/>
    <xf numFmtId="2" fontId="4" fillId="16" borderId="0" xfId="0" applyNumberFormat="1" applyFont="1" applyFill="1"/>
    <xf numFmtId="2" fontId="4" fillId="0" borderId="0" xfId="9" applyNumberFormat="1" applyFont="1" applyFill="1"/>
    <xf numFmtId="0" fontId="31" fillId="0" borderId="0" xfId="0" applyFont="1"/>
    <xf numFmtId="0" fontId="3" fillId="18" borderId="0" xfId="0" applyFont="1" applyFill="1"/>
    <xf numFmtId="0" fontId="3" fillId="2" borderId="1" xfId="12" applyFont="1" applyFill="1" applyBorder="1" applyAlignment="1">
      <alignment horizontal="center" vertical="center" wrapText="1"/>
    </xf>
    <xf numFmtId="0" fontId="25" fillId="4" borderId="1" xfId="1" applyFont="1" applyBorder="1" applyAlignment="1">
      <alignment horizontal="center" wrapText="1"/>
    </xf>
    <xf numFmtId="0" fontId="25" fillId="4" borderId="13" xfId="1" applyFont="1" applyBorder="1" applyAlignment="1">
      <alignment horizontal="center" wrapText="1"/>
    </xf>
    <xf numFmtId="0" fontId="3" fillId="2" borderId="1" xfId="13" applyFont="1" applyFill="1" applyBorder="1" applyAlignment="1">
      <alignment horizontal="center" vertical="center" wrapText="1"/>
    </xf>
    <xf numFmtId="0" fontId="25" fillId="4" borderId="13" xfId="1" quotePrefix="1" applyFont="1" applyBorder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" fontId="0" fillId="17" borderId="2" xfId="0" applyNumberFormat="1" applyFill="1" applyBorder="1"/>
    <xf numFmtId="0" fontId="19" fillId="6" borderId="0" xfId="3"/>
    <xf numFmtId="179" fontId="12" fillId="0" borderId="11" xfId="0" applyNumberFormat="1" applyFont="1" applyBorder="1" applyAlignment="1">
      <alignment horizontal="left" vertical="center"/>
    </xf>
    <xf numFmtId="0" fontId="3" fillId="0" borderId="14" xfId="0" applyFont="1" applyBorder="1" applyAlignment="1"/>
    <xf numFmtId="1" fontId="0" fillId="15" borderId="0" xfId="0" applyNumberFormat="1" applyFill="1" applyBorder="1" applyAlignment="1"/>
    <xf numFmtId="0" fontId="0" fillId="15" borderId="0" xfId="0" applyFill="1" applyBorder="1" applyAlignment="1"/>
    <xf numFmtId="1" fontId="3" fillId="15" borderId="15" xfId="0" applyNumberFormat="1" applyFont="1" applyFill="1" applyBorder="1" applyAlignment="1"/>
    <xf numFmtId="1" fontId="3" fillId="15" borderId="14" xfId="0" applyNumberFormat="1" applyFont="1" applyFill="1" applyBorder="1" applyAlignment="1"/>
    <xf numFmtId="0" fontId="25" fillId="4" borderId="4" xfId="1" applyFont="1" applyBorder="1" applyAlignment="1">
      <alignment horizontal="left" wrapText="1"/>
    </xf>
    <xf numFmtId="0" fontId="3" fillId="14" borderId="10" xfId="0" applyFont="1" applyFill="1" applyBorder="1" applyAlignment="1">
      <alignment wrapText="1"/>
    </xf>
    <xf numFmtId="0" fontId="3" fillId="14" borderId="7" xfId="0" applyFont="1" applyFill="1" applyBorder="1" applyAlignment="1">
      <alignment wrapText="1"/>
    </xf>
    <xf numFmtId="0" fontId="29" fillId="14" borderId="0" xfId="0" applyFont="1" applyFill="1" applyBorder="1"/>
    <xf numFmtId="9" fontId="13" fillId="15" borderId="10" xfId="17" applyFont="1" applyFill="1" applyBorder="1" applyAlignment="1">
      <alignment horizontal="left" vertical="center"/>
    </xf>
    <xf numFmtId="9" fontId="13" fillId="15" borderId="1" xfId="17" applyFont="1" applyFill="1" applyBorder="1" applyAlignment="1">
      <alignment horizontal="left" vertical="center"/>
    </xf>
    <xf numFmtId="9" fontId="13" fillId="15" borderId="11" xfId="17" applyFont="1" applyFill="1" applyBorder="1" applyAlignment="1">
      <alignment horizontal="left" vertical="center"/>
    </xf>
    <xf numFmtId="9" fontId="13" fillId="15" borderId="2" xfId="17" applyFont="1" applyFill="1" applyBorder="1" applyAlignment="1">
      <alignment horizontal="left" vertical="center"/>
    </xf>
    <xf numFmtId="9" fontId="22" fillId="10" borderId="1" xfId="17" applyFont="1" applyFill="1" applyBorder="1" applyAlignment="1"/>
    <xf numFmtId="9" fontId="22" fillId="10" borderId="16" xfId="17" applyFont="1" applyFill="1" applyBorder="1" applyAlignment="1"/>
    <xf numFmtId="9" fontId="22" fillId="10" borderId="2" xfId="17" applyFont="1" applyFill="1" applyBorder="1" applyAlignment="1"/>
    <xf numFmtId="9" fontId="22" fillId="10" borderId="14" xfId="17" applyFont="1" applyFill="1" applyBorder="1" applyAlignment="1"/>
    <xf numFmtId="9" fontId="4" fillId="0" borderId="0" xfId="21" applyFont="1" applyFill="1"/>
    <xf numFmtId="2" fontId="4" fillId="16" borderId="2" xfId="0" applyNumberFormat="1" applyFont="1" applyFill="1" applyBorder="1"/>
    <xf numFmtId="1" fontId="0" fillId="16" borderId="2" xfId="0" applyNumberFormat="1" applyFill="1" applyBorder="1"/>
    <xf numFmtId="2" fontId="0" fillId="16" borderId="2" xfId="0" applyNumberFormat="1" applyFill="1" applyBorder="1"/>
    <xf numFmtId="0" fontId="0" fillId="16" borderId="2" xfId="0" applyFill="1" applyBorder="1"/>
    <xf numFmtId="178" fontId="0" fillId="16" borderId="2" xfId="0" applyNumberFormat="1" applyFill="1" applyBorder="1"/>
    <xf numFmtId="0" fontId="0" fillId="0" borderId="2" xfId="0" applyFill="1" applyBorder="1"/>
    <xf numFmtId="1" fontId="28" fillId="13" borderId="2" xfId="2" applyNumberFormat="1" applyFont="1" applyFill="1" applyBorder="1" applyAlignment="1">
      <alignment horizontal="right" wrapText="1"/>
    </xf>
    <xf numFmtId="0" fontId="4" fillId="0" borderId="0" xfId="10" applyFont="1" applyFill="1" applyBorder="1"/>
    <xf numFmtId="0" fontId="25" fillId="0" borderId="0" xfId="1" applyFont="1" applyFill="1" applyBorder="1" applyAlignment="1">
      <alignment horizontal="left" wrapText="1"/>
    </xf>
    <xf numFmtId="2" fontId="0" fillId="0" borderId="0" xfId="0" applyNumberFormat="1" applyFill="1" applyBorder="1"/>
    <xf numFmtId="2" fontId="0" fillId="16" borderId="1" xfId="0" applyNumberFormat="1" applyFill="1" applyBorder="1"/>
    <xf numFmtId="2" fontId="0" fillId="16" borderId="0" xfId="0" applyNumberFormat="1" applyFill="1" applyBorder="1"/>
    <xf numFmtId="0" fontId="3" fillId="14" borderId="12" xfId="0" applyFont="1" applyFill="1" applyBorder="1" applyAlignment="1">
      <alignment wrapText="1"/>
    </xf>
    <xf numFmtId="0" fontId="3" fillId="14" borderId="4" xfId="0" applyFont="1" applyFill="1" applyBorder="1" applyAlignment="1">
      <alignment wrapText="1"/>
    </xf>
    <xf numFmtId="0" fontId="3" fillId="14" borderId="5" xfId="0" applyFont="1" applyFill="1" applyBorder="1" applyAlignment="1">
      <alignment wrapText="1"/>
    </xf>
    <xf numFmtId="179" fontId="13" fillId="15" borderId="12" xfId="0" applyNumberFormat="1" applyFont="1" applyFill="1" applyBorder="1" applyAlignment="1">
      <alignment horizontal="center" vertical="center"/>
    </xf>
    <xf numFmtId="179" fontId="13" fillId="15" borderId="6" xfId="0" applyNumberFormat="1" applyFont="1" applyFill="1" applyBorder="1" applyAlignment="1">
      <alignment horizontal="center" vertical="center"/>
    </xf>
    <xf numFmtId="179" fontId="13" fillId="15" borderId="5" xfId="0" applyNumberFormat="1" applyFont="1" applyFill="1" applyBorder="1" applyAlignment="1">
      <alignment horizontal="center" vertical="center"/>
    </xf>
    <xf numFmtId="1" fontId="28" fillId="13" borderId="1" xfId="2" applyNumberFormat="1" applyFont="1" applyFill="1" applyBorder="1" applyAlignment="1">
      <alignment horizontal="center" wrapText="1"/>
    </xf>
    <xf numFmtId="1" fontId="28" fillId="13" borderId="3" xfId="2" applyNumberFormat="1" applyFont="1" applyFill="1" applyBorder="1" applyAlignment="1">
      <alignment horizontal="center" wrapText="1"/>
    </xf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4" xfId="0" applyNumberFormat="1" applyFont="1" applyFill="1" applyBorder="1" applyAlignment="1">
      <alignment horizontal="left"/>
    </xf>
    <xf numFmtId="187" fontId="25" fillId="4" borderId="3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5" fillId="4" borderId="3" xfId="1" applyNumberFormat="1" applyFont="1" applyBorder="1" applyAlignment="1">
      <alignment horizontal="center" wrapText="1"/>
    </xf>
    <xf numFmtId="187" fontId="4" fillId="0" borderId="0" xfId="0" applyNumberFormat="1" applyFont="1" applyFill="1"/>
    <xf numFmtId="187" fontId="0" fillId="0" borderId="0" xfId="0" applyNumberFormat="1" applyFill="1" applyAlignment="1"/>
    <xf numFmtId="187" fontId="0" fillId="0" borderId="2" xfId="0" applyNumberFormat="1" applyFill="1" applyBorder="1"/>
    <xf numFmtId="187" fontId="0" fillId="0" borderId="2" xfId="0" applyNumberFormat="1" applyFill="1" applyBorder="1" applyAlignment="1"/>
    <xf numFmtId="187" fontId="4" fillId="0" borderId="2" xfId="0" applyNumberFormat="1" applyFont="1" applyFill="1" applyBorder="1"/>
    <xf numFmtId="187" fontId="4" fillId="0" borderId="0" xfId="0" applyNumberFormat="1" applyFont="1" applyFill="1" applyBorder="1"/>
    <xf numFmtId="187" fontId="4" fillId="0" borderId="17" xfId="0" applyNumberFormat="1" applyFont="1" applyFill="1" applyBorder="1"/>
  </cellXfs>
  <cellStyles count="23">
    <cellStyle name="20% - Accent5" xfId="1" builtinId="46"/>
    <cellStyle name="40% - Accent3" xfId="2" builtinId="39"/>
    <cellStyle name="60% - Accent2" xfId="3" builtinId="36"/>
    <cellStyle name="Accent2" xfId="4" builtinId="33"/>
    <cellStyle name="Calculation" xfId="5" builtinId="22"/>
    <cellStyle name="Comma 2" xfId="6"/>
    <cellStyle name="Good" xfId="7" builtinId="26"/>
    <cellStyle name="Input" xfId="8" builtinId="20"/>
    <cellStyle name="Neutral" xfId="9" builtinId="28"/>
    <cellStyle name="Normal" xfId="0" builtinId="0"/>
    <cellStyle name="Normal 10" xfId="10"/>
    <cellStyle name="Normal 2" xfId="11"/>
    <cellStyle name="Normal 4" xfId="12"/>
    <cellStyle name="Normal 4 2" xfId="13"/>
    <cellStyle name="Normal 8" xfId="14"/>
    <cellStyle name="Normal 9 2" xfId="15"/>
    <cellStyle name="Normale_B2020" xfId="16"/>
    <cellStyle name="Per cent" xfId="17" builtinId="5"/>
    <cellStyle name="Percent 2" xfId="18"/>
    <cellStyle name="Percent 3" xfId="19"/>
    <cellStyle name="Percent 4" xfId="20"/>
    <cellStyle name="Percent 5" xfId="21"/>
    <cellStyle name="Standard_Sce_D_Extraction" xfId="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804967</xdr:colOff>
      <xdr:row>15</xdr:row>
      <xdr:rowOff>11430</xdr:rowOff>
    </xdr:from>
    <xdr:to>
      <xdr:col>11</xdr:col>
      <xdr:colOff>804967</xdr:colOff>
      <xdr:row>20</xdr:row>
      <xdr:rowOff>150451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F533EA9-BE82-CA4A-B32D-C96C9251DB3C}"/>
            </a:ext>
          </a:extLst>
        </xdr:cNvPr>
        <xdr:cNvSpPr txBox="1"/>
      </xdr:nvSpPr>
      <xdr:spPr>
        <a:xfrm>
          <a:off x="5133974" y="4802717"/>
          <a:ext cx="4327525" cy="9588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Column B</a:t>
          </a:r>
          <a:r>
            <a:rPr lang="en-GB" sz="1100"/>
            <a:t> (rows</a:t>
          </a:r>
          <a:r>
            <a:rPr lang="en-GB" sz="1100" baseline="0"/>
            <a:t> 5 -24) is used to set up the technology and commoditiy names and descriptions in the model.</a:t>
          </a:r>
        </a:p>
        <a:p>
          <a:endParaRPr lang="en-GB" sz="1100" baseline="0"/>
        </a:p>
        <a:p>
          <a:r>
            <a:rPr lang="en-GB" sz="1100" baseline="0"/>
            <a:t>Row 2 and Row 3 are used to build  techology and commodity names and descriptions in the model.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57161" name="Picture 6">
          <a:extLst>
            <a:ext uri="{FF2B5EF4-FFF2-40B4-BE49-F238E27FC236}">
              <a16:creationId xmlns:a16="http://schemas.microsoft.com/office/drawing/2014/main" id="{4F3689EA-2C00-5F49-87B3-9671E7CA2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144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12700</xdr:rowOff>
    </xdr:from>
    <xdr:to>
      <xdr:col>9</xdr:col>
      <xdr:colOff>406400</xdr:colOff>
      <xdr:row>127</xdr:row>
      <xdr:rowOff>139700</xdr:rowOff>
    </xdr:to>
    <xdr:pic>
      <xdr:nvPicPr>
        <xdr:cNvPr id="57162" name="Picture 8">
          <a:extLst>
            <a:ext uri="{FF2B5EF4-FFF2-40B4-BE49-F238E27FC236}">
              <a16:creationId xmlns:a16="http://schemas.microsoft.com/office/drawing/2014/main" id="{1CDFE4A8-2E9A-444C-9D66-940E20D31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9227800"/>
          <a:ext cx="44450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8</xdr:col>
      <xdr:colOff>76200</xdr:colOff>
      <xdr:row>30</xdr:row>
      <xdr:rowOff>50800</xdr:rowOff>
    </xdr:to>
    <xdr:pic>
      <xdr:nvPicPr>
        <xdr:cNvPr id="57163" name="Picture 4">
          <a:extLst>
            <a:ext uri="{FF2B5EF4-FFF2-40B4-BE49-F238E27FC236}">
              <a16:creationId xmlns:a16="http://schemas.microsoft.com/office/drawing/2014/main" id="{88A86DAE-9CA3-E046-9001-7EC11AB6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054100"/>
          <a:ext cx="3441700" cy="401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30</xdr:row>
      <xdr:rowOff>50800</xdr:rowOff>
    </xdr:from>
    <xdr:to>
      <xdr:col>8</xdr:col>
      <xdr:colOff>76200</xdr:colOff>
      <xdr:row>54</xdr:row>
      <xdr:rowOff>12700</xdr:rowOff>
    </xdr:to>
    <xdr:pic>
      <xdr:nvPicPr>
        <xdr:cNvPr id="57164" name="Picture 5">
          <a:extLst>
            <a:ext uri="{FF2B5EF4-FFF2-40B4-BE49-F238E27FC236}">
              <a16:creationId xmlns:a16="http://schemas.microsoft.com/office/drawing/2014/main" id="{B2457F20-1326-DE4E-BE63-8602DF357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5067300"/>
          <a:ext cx="34417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31</xdr:row>
      <xdr:rowOff>0</xdr:rowOff>
    </xdr:from>
    <xdr:to>
      <xdr:col>14</xdr:col>
      <xdr:colOff>448994</xdr:colOff>
      <xdr:row>37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0026D5-25A4-EF46-9C6D-CD63B6013228}"/>
            </a:ext>
          </a:extLst>
        </xdr:cNvPr>
        <xdr:cNvSpPr txBox="1"/>
      </xdr:nvSpPr>
      <xdr:spPr>
        <a:xfrm>
          <a:off x="6528435" y="5210175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10583</xdr:colOff>
      <xdr:row>26</xdr:row>
      <xdr:rowOff>107950</xdr:rowOff>
    </xdr:from>
    <xdr:to>
      <xdr:col>17</xdr:col>
      <xdr:colOff>4410859</xdr:colOff>
      <xdr:row>33</xdr:row>
      <xdr:rowOff>12724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CBDC654-DF4A-E344-A8B4-E28C16F76D70}"/>
            </a:ext>
          </a:extLst>
        </xdr:cNvPr>
        <xdr:cNvSpPr txBox="1"/>
      </xdr:nvSpPr>
      <xdr:spPr>
        <a:xfrm>
          <a:off x="9736666" y="4402667"/>
          <a:ext cx="5886255" cy="10287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car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public transport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sector. Two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demand commodities and  transport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options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technologies to deliver the transport car demand.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17</xdr:row>
      <xdr:rowOff>28575</xdr:rowOff>
    </xdr:from>
    <xdr:to>
      <xdr:col>5</xdr:col>
      <xdr:colOff>19050</xdr:colOff>
      <xdr:row>20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BB1FB6-017D-E945-9728-62CB6258393D}"/>
            </a:ext>
          </a:extLst>
        </xdr:cNvPr>
        <xdr:cNvSpPr txBox="1"/>
      </xdr:nvSpPr>
      <xdr:spPr>
        <a:xfrm>
          <a:off x="152400" y="2981325"/>
          <a:ext cx="3238500" cy="600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the demand value for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each period and the commodity fraction for the electricity commodity demand by timeslice.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419100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4D81F1-B917-4B42-A56D-B0DBE34F318A}"/>
            </a:ext>
          </a:extLst>
        </xdr:cNvPr>
        <xdr:cNvSpPr txBox="1"/>
      </xdr:nvSpPr>
      <xdr:spPr>
        <a:xfrm>
          <a:off x="609600" y="197167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transport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6">
          <cell r="D16">
            <v>231.76075</v>
          </cell>
          <cell r="E16">
            <v>2063.9171999999999</v>
          </cell>
          <cell r="G16">
            <v>862.053</v>
          </cell>
          <cell r="H16">
            <v>72.9495</v>
          </cell>
          <cell r="I16">
            <v>190.17599999999999</v>
          </cell>
          <cell r="J16">
            <v>3.1680000000000001</v>
          </cell>
          <cell r="K16">
            <v>0</v>
          </cell>
          <cell r="L16">
            <v>15.38</v>
          </cell>
          <cell r="M16">
            <v>0.92</v>
          </cell>
          <cell r="N16">
            <v>0</v>
          </cell>
          <cell r="O16">
            <v>895.44524999999999</v>
          </cell>
          <cell r="P16">
            <v>0</v>
          </cell>
          <cell r="Q16">
            <v>0</v>
          </cell>
          <cell r="R16">
            <v>50</v>
          </cell>
          <cell r="S16">
            <v>0</v>
          </cell>
          <cell r="T16">
            <v>432.74250000000001</v>
          </cell>
          <cell r="U16">
            <v>1435.8710000000001</v>
          </cell>
        </row>
        <row r="17">
          <cell r="D17">
            <v>37.001249999999999</v>
          </cell>
          <cell r="E17">
            <v>700.69200000000001</v>
          </cell>
          <cell r="G17">
            <v>368.84399999999999</v>
          </cell>
          <cell r="H17">
            <v>1.677</v>
          </cell>
          <cell r="I17">
            <v>31.602</v>
          </cell>
          <cell r="J17">
            <v>5.72</v>
          </cell>
          <cell r="K17">
            <v>0</v>
          </cell>
          <cell r="L17">
            <v>19.32</v>
          </cell>
          <cell r="M17">
            <v>0.24199999999999999</v>
          </cell>
          <cell r="N17">
            <v>0</v>
          </cell>
          <cell r="O17">
            <v>39</v>
          </cell>
          <cell r="P17">
            <v>0</v>
          </cell>
          <cell r="Q17">
            <v>0</v>
          </cell>
          <cell r="R17">
            <v>7.5</v>
          </cell>
          <cell r="S17">
            <v>0.60850000000000004</v>
          </cell>
          <cell r="T17">
            <v>127.32299999999999</v>
          </cell>
          <cell r="U17">
            <v>1263.6955</v>
          </cell>
        </row>
        <row r="18">
          <cell r="D18">
            <v>1233.0409000000002</v>
          </cell>
          <cell r="E18">
            <v>1774.8644000000002</v>
          </cell>
          <cell r="G18">
            <v>298.68</v>
          </cell>
          <cell r="H18">
            <v>36.356499999999997</v>
          </cell>
          <cell r="I18">
            <v>142.97149999999999</v>
          </cell>
          <cell r="J18">
            <v>7.766</v>
          </cell>
          <cell r="K18">
            <v>44.066000000000003</v>
          </cell>
          <cell r="L18">
            <v>286.0505</v>
          </cell>
          <cell r="M18">
            <v>191.57300000000001</v>
          </cell>
          <cell r="N18">
            <v>0</v>
          </cell>
          <cell r="O18">
            <v>541.25324999999998</v>
          </cell>
          <cell r="P18">
            <v>0</v>
          </cell>
          <cell r="Q18">
            <v>0</v>
          </cell>
          <cell r="R18">
            <v>0</v>
          </cell>
          <cell r="S18">
            <v>58.595999999999997</v>
          </cell>
          <cell r="T18">
            <v>316.79149999999998</v>
          </cell>
          <cell r="U18">
            <v>2044.222</v>
          </cell>
        </row>
        <row r="19">
          <cell r="D19">
            <v>28.665000000000003</v>
          </cell>
          <cell r="E19">
            <v>80.482399999999998</v>
          </cell>
          <cell r="G19">
            <v>366.58800000000002</v>
          </cell>
          <cell r="H19">
            <v>0.47299999999999998</v>
          </cell>
          <cell r="I19">
            <v>16.169</v>
          </cell>
          <cell r="J19">
            <v>1.716</v>
          </cell>
          <cell r="K19">
            <v>0</v>
          </cell>
          <cell r="L19">
            <v>13.74</v>
          </cell>
          <cell r="M19">
            <v>0</v>
          </cell>
          <cell r="N19">
            <v>0</v>
          </cell>
          <cell r="O19">
            <v>47.314499999999995</v>
          </cell>
          <cell r="P19">
            <v>0</v>
          </cell>
          <cell r="Q19">
            <v>0</v>
          </cell>
          <cell r="R19">
            <v>0</v>
          </cell>
          <cell r="S19">
            <v>5.0000000000000001E-4</v>
          </cell>
          <cell r="T19">
            <v>7.7869999999999999</v>
          </cell>
          <cell r="U19">
            <v>9.6930000000000014</v>
          </cell>
        </row>
        <row r="20">
          <cell r="D20">
            <v>0.36140000000000005</v>
          </cell>
          <cell r="E20">
            <v>8.4995999999999992</v>
          </cell>
          <cell r="G20">
            <v>3856.2855</v>
          </cell>
          <cell r="H20">
            <v>1047.652</v>
          </cell>
          <cell r="I20">
            <v>94.230999999999995</v>
          </cell>
          <cell r="J20">
            <v>2394.2159999999999</v>
          </cell>
          <cell r="K20">
            <v>0</v>
          </cell>
          <cell r="L20">
            <v>33.24</v>
          </cell>
          <cell r="M20">
            <v>0</v>
          </cell>
          <cell r="N20">
            <v>0</v>
          </cell>
          <cell r="O20">
            <v>120.75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132.98599999999999</v>
          </cell>
        </row>
        <row r="21">
          <cell r="D21">
            <v>773.00014999999871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313.51900000000001</v>
          </cell>
          <cell r="U21">
            <v>325</v>
          </cell>
        </row>
        <row r="22">
          <cell r="D22">
            <v>34.094450000000002</v>
          </cell>
          <cell r="E22">
            <v>253.5292</v>
          </cell>
          <cell r="G22">
            <v>76.465000000000003</v>
          </cell>
          <cell r="H22">
            <v>4.7945000000000002</v>
          </cell>
          <cell r="I22">
            <v>199.87350000000001</v>
          </cell>
          <cell r="J22">
            <v>3.1459999999999999</v>
          </cell>
          <cell r="K22">
            <v>899.20600000000002</v>
          </cell>
          <cell r="L22">
            <v>52.04</v>
          </cell>
          <cell r="M22">
            <v>800.72900000000004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D23">
            <v>0</v>
          </cell>
          <cell r="E23">
            <v>0</v>
          </cell>
          <cell r="G23">
            <v>146.90600000000001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902.14</v>
          </cell>
          <cell r="M23">
            <v>6.5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31"/>
  <sheetViews>
    <sheetView zoomScale="80" zoomScaleNormal="80" workbookViewId="0">
      <selection activeCell="D9" sqref="D9:U9"/>
    </sheetView>
  </sheetViews>
  <sheetFormatPr baseColWidth="10" defaultRowHeight="13"/>
  <cols>
    <col min="1" max="1" width="3" bestFit="1" customWidth="1"/>
    <col min="2" max="2" width="18.5" bestFit="1" customWidth="1"/>
    <col min="3" max="3" width="33.33203125" customWidth="1"/>
    <col min="4" max="21" width="10.83203125" customWidth="1"/>
    <col min="22" max="22" width="7.33203125" bestFit="1" customWidth="1"/>
    <col min="23" max="23" width="2" bestFit="1" customWidth="1"/>
    <col min="24" max="24" width="12.5" bestFit="1" customWidth="1"/>
    <col min="25" max="25" width="8.83203125" customWidth="1"/>
    <col min="26" max="26" width="6.6640625" bestFit="1" customWidth="1"/>
    <col min="27" max="27" width="9.33203125" bestFit="1" customWidth="1"/>
    <col min="28" max="28" width="2" bestFit="1" customWidth="1"/>
    <col min="29" max="256" width="8.83203125" customWidth="1"/>
  </cols>
  <sheetData>
    <row r="1" spans="1:27" s="6" customFormat="1">
      <c r="X1" s="24" t="s">
        <v>93</v>
      </c>
      <c r="Y1" s="1" t="s">
        <v>94</v>
      </c>
      <c r="Z1" s="1" t="s">
        <v>95</v>
      </c>
      <c r="AA1" s="1" t="s">
        <v>103</v>
      </c>
    </row>
    <row r="2" spans="1:27" ht="16">
      <c r="C2" s="7"/>
      <c r="D2" s="54" t="s">
        <v>44</v>
      </c>
      <c r="E2" s="54" t="s">
        <v>45</v>
      </c>
      <c r="F2" s="54" t="s">
        <v>46</v>
      </c>
      <c r="G2" s="54" t="s">
        <v>129</v>
      </c>
      <c r="H2" s="54" t="s">
        <v>130</v>
      </c>
      <c r="I2" s="54" t="s">
        <v>131</v>
      </c>
      <c r="J2" s="54" t="s">
        <v>132</v>
      </c>
      <c r="K2" s="54" t="s">
        <v>133</v>
      </c>
      <c r="L2" s="54" t="s">
        <v>134</v>
      </c>
      <c r="M2" s="54" t="s">
        <v>135</v>
      </c>
      <c r="N2" s="54" t="s">
        <v>47</v>
      </c>
      <c r="O2" s="54" t="s">
        <v>167</v>
      </c>
      <c r="P2" s="54" t="s">
        <v>168</v>
      </c>
      <c r="Q2" s="54" t="s">
        <v>169</v>
      </c>
      <c r="R2" s="54" t="s">
        <v>170</v>
      </c>
      <c r="S2" s="54" t="s">
        <v>48</v>
      </c>
      <c r="T2" s="54" t="s">
        <v>49</v>
      </c>
      <c r="U2" s="54" t="s">
        <v>50</v>
      </c>
      <c r="V2" s="54" t="s">
        <v>175</v>
      </c>
      <c r="X2" s="8"/>
      <c r="Y2" s="53" t="s">
        <v>156</v>
      </c>
      <c r="Z2" s="14" t="s">
        <v>76</v>
      </c>
      <c r="AA2" s="14" t="s">
        <v>104</v>
      </c>
    </row>
    <row r="3" spans="1:27" ht="42">
      <c r="C3" s="74" t="s">
        <v>126</v>
      </c>
      <c r="D3" s="55" t="s">
        <v>51</v>
      </c>
      <c r="E3" s="55" t="s">
        <v>52</v>
      </c>
      <c r="F3" s="55" t="s">
        <v>128</v>
      </c>
      <c r="G3" s="55" t="s">
        <v>141</v>
      </c>
      <c r="H3" s="55" t="s">
        <v>138</v>
      </c>
      <c r="I3" s="55" t="s">
        <v>131</v>
      </c>
      <c r="J3" s="55" t="s">
        <v>139</v>
      </c>
      <c r="K3" s="55" t="s">
        <v>140</v>
      </c>
      <c r="L3" s="55" t="s">
        <v>136</v>
      </c>
      <c r="M3" s="55" t="s">
        <v>137</v>
      </c>
      <c r="N3" s="55" t="s">
        <v>53</v>
      </c>
      <c r="O3" s="55" t="s">
        <v>176</v>
      </c>
      <c r="P3" s="55" t="s">
        <v>172</v>
      </c>
      <c r="Q3" s="55" t="s">
        <v>173</v>
      </c>
      <c r="R3" s="55" t="s">
        <v>174</v>
      </c>
      <c r="S3" s="55" t="s">
        <v>54</v>
      </c>
      <c r="T3" s="55" t="s">
        <v>55</v>
      </c>
      <c r="U3" s="55" t="s">
        <v>88</v>
      </c>
      <c r="V3" s="55" t="s">
        <v>56</v>
      </c>
    </row>
    <row r="4" spans="1:27">
      <c r="B4" s="52"/>
      <c r="C4" s="96" t="s">
        <v>57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7"/>
    </row>
    <row r="5" spans="1:27">
      <c r="A5" s="6"/>
      <c r="B5" s="56" t="s">
        <v>58</v>
      </c>
      <c r="C5" s="64" t="s">
        <v>59</v>
      </c>
      <c r="D5" s="98">
        <f>[2]EB1!D16</f>
        <v>231.76075</v>
      </c>
      <c r="E5" s="98">
        <f>[2]EB1!E16</f>
        <v>2063.9171999999999</v>
      </c>
      <c r="F5" s="98">
        <f>[2]EB1!F16</f>
        <v>0</v>
      </c>
      <c r="G5" s="98">
        <f>[2]EB1!G16</f>
        <v>862.053</v>
      </c>
      <c r="H5" s="98">
        <f>[2]EB1!H16</f>
        <v>72.9495</v>
      </c>
      <c r="I5" s="98">
        <f>[2]EB1!I16</f>
        <v>190.17599999999999</v>
      </c>
      <c r="J5" s="98">
        <f>[2]EB1!J16</f>
        <v>3.1680000000000001</v>
      </c>
      <c r="K5" s="98">
        <f>[2]EB1!K16</f>
        <v>0</v>
      </c>
      <c r="L5" s="98">
        <f>[2]EB1!L16</f>
        <v>15.38</v>
      </c>
      <c r="M5" s="98">
        <f>[2]EB1!M16</f>
        <v>0.92</v>
      </c>
      <c r="N5" s="99">
        <f>[2]EB1!N16</f>
        <v>0</v>
      </c>
      <c r="O5" s="98">
        <f>[2]EB1!O16</f>
        <v>895.44524999999999</v>
      </c>
      <c r="P5" s="98">
        <f>[2]EB1!P16</f>
        <v>0</v>
      </c>
      <c r="Q5" s="98">
        <f>[2]EB1!Q16</f>
        <v>0</v>
      </c>
      <c r="R5" s="98">
        <f>[2]EB1!R16</f>
        <v>50</v>
      </c>
      <c r="S5" s="98">
        <f>[2]EB1!S16</f>
        <v>0</v>
      </c>
      <c r="T5" s="98">
        <f>[2]EB1!T16</f>
        <v>432.74250000000001</v>
      </c>
      <c r="U5" s="98">
        <f>[2]EB1!U16</f>
        <v>1435.8710000000001</v>
      </c>
      <c r="V5" s="100">
        <f>SUM(D5:U5)</f>
        <v>6254.3832000000002</v>
      </c>
    </row>
    <row r="6" spans="1:27">
      <c r="A6" s="6"/>
      <c r="B6" s="56" t="s">
        <v>60</v>
      </c>
      <c r="C6" s="65" t="s">
        <v>61</v>
      </c>
      <c r="D6" s="98">
        <f>[2]EB1!D17</f>
        <v>37.001249999999999</v>
      </c>
      <c r="E6" s="98">
        <f>[2]EB1!E17</f>
        <v>700.69200000000001</v>
      </c>
      <c r="F6" s="98">
        <f>[2]EB1!F17</f>
        <v>0</v>
      </c>
      <c r="G6" s="98">
        <f>[2]EB1!G17</f>
        <v>368.84399999999999</v>
      </c>
      <c r="H6" s="98">
        <f>[2]EB1!H17</f>
        <v>1.677</v>
      </c>
      <c r="I6" s="98">
        <f>[2]EB1!I17</f>
        <v>31.602</v>
      </c>
      <c r="J6" s="98">
        <f>[2]EB1!J17</f>
        <v>5.72</v>
      </c>
      <c r="K6" s="98">
        <f>[2]EB1!K17</f>
        <v>0</v>
      </c>
      <c r="L6" s="98">
        <f>[2]EB1!L17</f>
        <v>19.32</v>
      </c>
      <c r="M6" s="98">
        <f>[2]EB1!M17</f>
        <v>0.24199999999999999</v>
      </c>
      <c r="N6" s="99">
        <f>[2]EB1!N17</f>
        <v>0</v>
      </c>
      <c r="O6" s="98">
        <f>[2]EB1!O17</f>
        <v>39</v>
      </c>
      <c r="P6" s="98">
        <f>[2]EB1!P17</f>
        <v>0</v>
      </c>
      <c r="Q6" s="98">
        <f>[2]EB1!Q17</f>
        <v>0</v>
      </c>
      <c r="R6" s="98">
        <f>[2]EB1!R17</f>
        <v>7.5</v>
      </c>
      <c r="S6" s="98">
        <f>[2]EB1!S17</f>
        <v>0.60850000000000004</v>
      </c>
      <c r="T6" s="98">
        <f>[2]EB1!T17</f>
        <v>127.32299999999999</v>
      </c>
      <c r="U6" s="98">
        <f>[2]EB1!U17</f>
        <v>1263.6955</v>
      </c>
      <c r="V6" s="100">
        <f t="shared" ref="V6:V12" si="0">SUM(D6:U6)</f>
        <v>2603.2252500000004</v>
      </c>
    </row>
    <row r="7" spans="1:27">
      <c r="A7" s="6"/>
      <c r="B7" s="56" t="s">
        <v>62</v>
      </c>
      <c r="C7" s="65" t="s">
        <v>63</v>
      </c>
      <c r="D7" s="98">
        <f>[2]EB1!D18</f>
        <v>1233.0409000000002</v>
      </c>
      <c r="E7" s="98">
        <f>[2]EB1!E18</f>
        <v>1774.8644000000002</v>
      </c>
      <c r="F7" s="98">
        <f>[2]EB1!F18</f>
        <v>0</v>
      </c>
      <c r="G7" s="98">
        <f>[2]EB1!G18</f>
        <v>298.68</v>
      </c>
      <c r="H7" s="98">
        <f>[2]EB1!H18</f>
        <v>36.356499999999997</v>
      </c>
      <c r="I7" s="98">
        <f>[2]EB1!I18</f>
        <v>142.97149999999999</v>
      </c>
      <c r="J7" s="98">
        <f>[2]EB1!J18</f>
        <v>7.766</v>
      </c>
      <c r="K7" s="98">
        <f>[2]EB1!K18</f>
        <v>44.066000000000003</v>
      </c>
      <c r="L7" s="98">
        <f>[2]EB1!L18</f>
        <v>286.0505</v>
      </c>
      <c r="M7" s="98">
        <f>[2]EB1!M18</f>
        <v>191.57300000000001</v>
      </c>
      <c r="N7" s="99">
        <f>[2]EB1!N18</f>
        <v>0</v>
      </c>
      <c r="O7" s="98">
        <f>[2]EB1!O18</f>
        <v>541.25324999999998</v>
      </c>
      <c r="P7" s="98">
        <f>[2]EB1!P18</f>
        <v>0</v>
      </c>
      <c r="Q7" s="98">
        <f>[2]EB1!Q18</f>
        <v>0</v>
      </c>
      <c r="R7" s="98">
        <f>[2]EB1!R18</f>
        <v>0</v>
      </c>
      <c r="S7" s="98">
        <f>[2]EB1!S18</f>
        <v>58.595999999999997</v>
      </c>
      <c r="T7" s="98">
        <f>[2]EB1!T18</f>
        <v>316.79149999999998</v>
      </c>
      <c r="U7" s="98">
        <f>[2]EB1!U18</f>
        <v>2044.222</v>
      </c>
      <c r="V7" s="100">
        <f t="shared" si="0"/>
        <v>6976.2315499999995</v>
      </c>
    </row>
    <row r="8" spans="1:27">
      <c r="A8" s="6"/>
      <c r="B8" s="56" t="s">
        <v>64</v>
      </c>
      <c r="C8" s="65" t="s">
        <v>65</v>
      </c>
      <c r="D8" s="98">
        <f>[2]EB1!D19</f>
        <v>28.665000000000003</v>
      </c>
      <c r="E8" s="98">
        <f>[2]EB1!E19</f>
        <v>80.482399999999998</v>
      </c>
      <c r="F8" s="98">
        <f>[2]EB1!F19</f>
        <v>0</v>
      </c>
      <c r="G8" s="98">
        <f>[2]EB1!G19</f>
        <v>366.58800000000002</v>
      </c>
      <c r="H8" s="98">
        <f>[2]EB1!H19</f>
        <v>0.47299999999999998</v>
      </c>
      <c r="I8" s="98">
        <f>[2]EB1!I19</f>
        <v>16.169</v>
      </c>
      <c r="J8" s="98">
        <f>[2]EB1!J19</f>
        <v>1.716</v>
      </c>
      <c r="K8" s="98">
        <f>[2]EB1!K19</f>
        <v>0</v>
      </c>
      <c r="L8" s="98">
        <f>[2]EB1!L19</f>
        <v>13.74</v>
      </c>
      <c r="M8" s="98">
        <f>[2]EB1!M19</f>
        <v>0</v>
      </c>
      <c r="N8" s="99">
        <f>[2]EB1!N19</f>
        <v>0</v>
      </c>
      <c r="O8" s="98">
        <f>[2]EB1!O19</f>
        <v>47.314499999999995</v>
      </c>
      <c r="P8" s="98">
        <f>[2]EB1!P19</f>
        <v>0</v>
      </c>
      <c r="Q8" s="98">
        <f>[2]EB1!Q19</f>
        <v>0</v>
      </c>
      <c r="R8" s="98">
        <f>[2]EB1!R19</f>
        <v>0</v>
      </c>
      <c r="S8" s="98">
        <f>[2]EB1!S19</f>
        <v>5.0000000000000001E-4</v>
      </c>
      <c r="T8" s="98">
        <f>[2]EB1!T19</f>
        <v>7.7869999999999999</v>
      </c>
      <c r="U8" s="98">
        <f>[2]EB1!U19</f>
        <v>9.6930000000000014</v>
      </c>
      <c r="V8" s="100">
        <f t="shared" si="0"/>
        <v>572.62840000000006</v>
      </c>
    </row>
    <row r="9" spans="1:27" ht="15">
      <c r="A9" s="6"/>
      <c r="B9" s="56" t="s">
        <v>66</v>
      </c>
      <c r="C9" s="65" t="s">
        <v>67</v>
      </c>
      <c r="D9" s="98">
        <f>[2]EB1!D20</f>
        <v>0.36140000000000005</v>
      </c>
      <c r="E9" s="60">
        <f>[2]EB1!E20</f>
        <v>8.4995999999999992</v>
      </c>
      <c r="F9" s="98">
        <f>[2]EB1!F20</f>
        <v>0</v>
      </c>
      <c r="G9" s="60">
        <f>[2]EB1!G20</f>
        <v>3856.2855</v>
      </c>
      <c r="H9" s="98">
        <f>[2]EB1!H20</f>
        <v>1047.652</v>
      </c>
      <c r="I9" s="60">
        <f>[2]EB1!I20</f>
        <v>94.230999999999995</v>
      </c>
      <c r="J9" s="60">
        <f>[2]EB1!J20</f>
        <v>2394.2159999999999</v>
      </c>
      <c r="K9" s="98">
        <f>[2]EB1!K20</f>
        <v>0</v>
      </c>
      <c r="L9" s="98">
        <f>[2]EB1!L20</f>
        <v>33.24</v>
      </c>
      <c r="M9" s="98">
        <f>[2]EB1!M20</f>
        <v>0</v>
      </c>
      <c r="N9" s="98">
        <f>[2]EB1!N20</f>
        <v>0</v>
      </c>
      <c r="O9" s="60">
        <f>[2]EB1!O20</f>
        <v>120.75</v>
      </c>
      <c r="P9" s="98">
        <f>[2]EB1!P20</f>
        <v>0</v>
      </c>
      <c r="Q9" s="98">
        <f>[2]EB1!Q20</f>
        <v>0</v>
      </c>
      <c r="R9" s="98">
        <f>[2]EB1!R20</f>
        <v>0</v>
      </c>
      <c r="S9" s="98">
        <f>[2]EB1!S20</f>
        <v>0</v>
      </c>
      <c r="T9" s="98">
        <f>[2]EB1!T20</f>
        <v>0</v>
      </c>
      <c r="U9" s="60">
        <f>[2]EB1!U20</f>
        <v>132.98599999999999</v>
      </c>
      <c r="V9" s="100">
        <f t="shared" si="0"/>
        <v>7688.2214999999987</v>
      </c>
    </row>
    <row r="10" spans="1:27">
      <c r="A10" s="6"/>
      <c r="B10" s="56" t="s">
        <v>68</v>
      </c>
      <c r="C10" s="66" t="s">
        <v>69</v>
      </c>
      <c r="D10" s="59">
        <f>[2]EB1!D21</f>
        <v>773.00014999999871</v>
      </c>
      <c r="E10" s="59">
        <f>[2]EB1!E21</f>
        <v>0</v>
      </c>
      <c r="F10" s="59">
        <f>[2]EB1!F21</f>
        <v>0</v>
      </c>
      <c r="G10" s="59">
        <f>[2]EB1!G21</f>
        <v>0</v>
      </c>
      <c r="H10" s="59">
        <f>[2]EB1!H21</f>
        <v>0</v>
      </c>
      <c r="I10" s="59">
        <f>[2]EB1!I21</f>
        <v>0</v>
      </c>
      <c r="J10" s="59">
        <f>[2]EB1!J21</f>
        <v>0</v>
      </c>
      <c r="K10" s="59">
        <f>[2]EB1!K21</f>
        <v>0</v>
      </c>
      <c r="L10" s="59">
        <f>[2]EB1!L21</f>
        <v>0</v>
      </c>
      <c r="M10" s="59">
        <f>[2]EB1!M21</f>
        <v>0</v>
      </c>
      <c r="N10" s="59">
        <f>[2]EB1!N21</f>
        <v>0</v>
      </c>
      <c r="O10" s="59">
        <f>[2]EB1!O21</f>
        <v>0</v>
      </c>
      <c r="P10" s="59">
        <f>[2]EB1!P21</f>
        <v>0</v>
      </c>
      <c r="Q10" s="59">
        <f>[2]EB1!Q21</f>
        <v>0</v>
      </c>
      <c r="R10" s="59">
        <f>[2]EB1!R21</f>
        <v>0</v>
      </c>
      <c r="S10" s="59">
        <f>[2]EB1!S21</f>
        <v>0</v>
      </c>
      <c r="T10" s="59">
        <f>[2]EB1!T21</f>
        <v>313.51900000000001</v>
      </c>
      <c r="U10" s="59">
        <f>[2]EB1!U21</f>
        <v>325</v>
      </c>
      <c r="V10" s="101">
        <f t="shared" si="0"/>
        <v>1411.5191499999987</v>
      </c>
    </row>
    <row r="11" spans="1:27">
      <c r="A11" s="6"/>
      <c r="B11" s="56" t="s">
        <v>86</v>
      </c>
      <c r="C11" s="65" t="s">
        <v>70</v>
      </c>
      <c r="D11" s="98">
        <f>[2]EB1!D22</f>
        <v>34.094450000000002</v>
      </c>
      <c r="E11" s="98">
        <f>[2]EB1!E22</f>
        <v>253.5292</v>
      </c>
      <c r="F11" s="98">
        <f>[2]EB1!F22</f>
        <v>0</v>
      </c>
      <c r="G11" s="98">
        <f>[2]EB1!G22</f>
        <v>76.465000000000003</v>
      </c>
      <c r="H11" s="98">
        <f>[2]EB1!H22</f>
        <v>4.7945000000000002</v>
      </c>
      <c r="I11" s="98">
        <f>[2]EB1!I22</f>
        <v>199.87350000000001</v>
      </c>
      <c r="J11" s="98">
        <f>[2]EB1!J22</f>
        <v>3.1459999999999999</v>
      </c>
      <c r="K11" s="98">
        <f>[2]EB1!K22</f>
        <v>899.20600000000002</v>
      </c>
      <c r="L11" s="98">
        <f>[2]EB1!L22</f>
        <v>52.04</v>
      </c>
      <c r="M11" s="98">
        <f>[2]EB1!M22</f>
        <v>800.72900000000004</v>
      </c>
      <c r="N11" s="99">
        <f>[2]EB1!N22</f>
        <v>0</v>
      </c>
      <c r="O11" s="98">
        <f>[2]EB1!O22</f>
        <v>0</v>
      </c>
      <c r="P11" s="98">
        <f>[2]EB1!P22</f>
        <v>0</v>
      </c>
      <c r="Q11" s="98">
        <f>[2]EB1!Q22</f>
        <v>0</v>
      </c>
      <c r="R11" s="98">
        <f>[2]EB1!R22</f>
        <v>0</v>
      </c>
      <c r="S11" s="98">
        <f>[2]EB1!S22</f>
        <v>0</v>
      </c>
      <c r="T11" s="98">
        <f>[2]EB1!T22</f>
        <v>0</v>
      </c>
      <c r="U11" s="98">
        <f>[2]EB1!U22</f>
        <v>0</v>
      </c>
      <c r="V11" s="100">
        <f t="shared" si="0"/>
        <v>2323.8776500000004</v>
      </c>
    </row>
    <row r="12" spans="1:27">
      <c r="A12" s="6"/>
      <c r="B12" s="56" t="s">
        <v>87</v>
      </c>
      <c r="C12" s="65" t="s">
        <v>71</v>
      </c>
      <c r="D12" s="98">
        <f>[2]EB1!D23</f>
        <v>0</v>
      </c>
      <c r="E12" s="98">
        <f>[2]EB1!E23</f>
        <v>0</v>
      </c>
      <c r="F12" s="98">
        <f>[2]EB1!F23</f>
        <v>0</v>
      </c>
      <c r="G12" s="98">
        <f>[2]EB1!G23</f>
        <v>146.90600000000001</v>
      </c>
      <c r="H12" s="98">
        <f>[2]EB1!H23</f>
        <v>0</v>
      </c>
      <c r="I12" s="98">
        <f>[2]EB1!I23</f>
        <v>0</v>
      </c>
      <c r="J12" s="98">
        <f>[2]EB1!J23</f>
        <v>0</v>
      </c>
      <c r="K12" s="98">
        <f>[2]EB1!K23</f>
        <v>0</v>
      </c>
      <c r="L12" s="98">
        <f>[2]EB1!L23</f>
        <v>902.14</v>
      </c>
      <c r="M12" s="98">
        <f>[2]EB1!M23</f>
        <v>6.5</v>
      </c>
      <c r="N12" s="99">
        <f>[2]EB1!N23</f>
        <v>0</v>
      </c>
      <c r="O12" s="59">
        <f>[2]EB1!O23</f>
        <v>0</v>
      </c>
      <c r="P12" s="59">
        <f>[2]EB1!P23</f>
        <v>0</v>
      </c>
      <c r="Q12" s="59">
        <f>[2]EB1!Q23</f>
        <v>0</v>
      </c>
      <c r="R12" s="59">
        <f>[2]EB1!R23</f>
        <v>0</v>
      </c>
      <c r="S12" s="98">
        <f>[2]EB1!S23</f>
        <v>0</v>
      </c>
      <c r="T12" s="98">
        <f>[2]EB1!T23</f>
        <v>0</v>
      </c>
      <c r="U12" s="98">
        <f>[2]EB1!U23</f>
        <v>0</v>
      </c>
      <c r="V12" s="100">
        <f t="shared" si="0"/>
        <v>1055.546</v>
      </c>
    </row>
    <row r="13" spans="1:27" ht="15">
      <c r="A13" s="6"/>
      <c r="B13" s="95" t="s">
        <v>89</v>
      </c>
      <c r="C13" s="63" t="s">
        <v>162</v>
      </c>
      <c r="D13" s="61">
        <f t="shared" ref="D13:V13" si="1">SUM(D5:D12)</f>
        <v>2337.9238999999989</v>
      </c>
      <c r="E13" s="61">
        <f t="shared" si="1"/>
        <v>4881.9848000000002</v>
      </c>
      <c r="F13" s="61">
        <f t="shared" si="1"/>
        <v>0</v>
      </c>
      <c r="G13" s="61">
        <f t="shared" si="1"/>
        <v>5975.8215</v>
      </c>
      <c r="H13" s="61">
        <f t="shared" si="1"/>
        <v>1163.9024999999999</v>
      </c>
      <c r="I13" s="61">
        <f t="shared" si="1"/>
        <v>675.02300000000002</v>
      </c>
      <c r="J13" s="61">
        <f t="shared" si="1"/>
        <v>2415.732</v>
      </c>
      <c r="K13" s="61">
        <f t="shared" si="1"/>
        <v>943.27200000000005</v>
      </c>
      <c r="L13" s="61">
        <f t="shared" si="1"/>
        <v>1321.9105</v>
      </c>
      <c r="M13" s="61">
        <f t="shared" si="1"/>
        <v>999.96400000000006</v>
      </c>
      <c r="N13" s="61">
        <f t="shared" si="1"/>
        <v>0</v>
      </c>
      <c r="O13" s="61">
        <f t="shared" si="1"/>
        <v>1643.7629999999999</v>
      </c>
      <c r="P13" s="61"/>
      <c r="Q13" s="61"/>
      <c r="R13" s="61"/>
      <c r="S13" s="61">
        <f t="shared" si="1"/>
        <v>59.204999999999998</v>
      </c>
      <c r="T13" s="61">
        <f t="shared" si="1"/>
        <v>1198.163</v>
      </c>
      <c r="U13" s="61">
        <f>SUM(U5:U12)</f>
        <v>5211.4674999999997</v>
      </c>
      <c r="V13" s="62">
        <f t="shared" si="1"/>
        <v>28885.632699999998</v>
      </c>
    </row>
    <row r="14" spans="1:27">
      <c r="A14" s="6"/>
      <c r="D14" s="10"/>
      <c r="F14" s="10"/>
      <c r="G14" s="10"/>
      <c r="H14" s="10"/>
      <c r="I14" s="10"/>
      <c r="J14" s="10"/>
      <c r="K14" s="10"/>
      <c r="L14" s="10"/>
      <c r="M14" s="10"/>
    </row>
    <row r="15" spans="1:27">
      <c r="A15" s="6"/>
      <c r="D15" s="10"/>
      <c r="F15" s="10"/>
      <c r="G15" s="10"/>
      <c r="H15" s="10"/>
      <c r="I15" s="10"/>
      <c r="J15" s="10"/>
      <c r="K15" s="10"/>
      <c r="L15" s="10"/>
      <c r="M15" s="10"/>
    </row>
    <row r="16" spans="1:27" ht="15">
      <c r="A16" s="6"/>
      <c r="C16" s="60" t="s">
        <v>157</v>
      </c>
      <c r="D16" s="60"/>
      <c r="E16" s="60"/>
      <c r="F16" s="10"/>
      <c r="G16" s="10"/>
      <c r="H16" s="10"/>
      <c r="I16" s="10"/>
      <c r="J16" s="10"/>
      <c r="K16" s="10"/>
      <c r="L16" s="10"/>
      <c r="M16" s="10"/>
    </row>
    <row r="17" spans="1:24">
      <c r="A17" s="6"/>
      <c r="D17" s="10"/>
      <c r="F17" s="10"/>
      <c r="G17" s="10"/>
      <c r="H17" s="10"/>
      <c r="I17" s="10"/>
      <c r="J17" s="10"/>
      <c r="K17" s="10"/>
      <c r="L17" s="10"/>
      <c r="M17" s="10"/>
    </row>
    <row r="18" spans="1:24">
      <c r="A18" s="6"/>
      <c r="D18" s="10"/>
      <c r="F18" s="10"/>
      <c r="G18" s="10"/>
      <c r="H18" s="10"/>
      <c r="I18" s="10"/>
      <c r="J18" s="10"/>
      <c r="K18" s="10"/>
      <c r="L18" s="10"/>
      <c r="M18" s="10"/>
    </row>
    <row r="19" spans="1:24">
      <c r="A19" s="6"/>
      <c r="D19" s="10"/>
      <c r="F19" s="10"/>
      <c r="G19" s="10"/>
      <c r="H19" s="10"/>
      <c r="I19" s="10"/>
      <c r="J19" s="10"/>
      <c r="K19" s="10"/>
      <c r="L19" s="10"/>
      <c r="M19" s="10"/>
    </row>
    <row r="20" spans="1:24">
      <c r="A20" s="6"/>
      <c r="D20" s="10"/>
      <c r="F20" s="10"/>
      <c r="G20" s="10"/>
      <c r="H20" s="10"/>
      <c r="I20" s="10"/>
      <c r="J20" s="10"/>
      <c r="K20" s="10"/>
      <c r="L20" s="10"/>
      <c r="M20" s="10"/>
    </row>
    <row r="21" spans="1:24">
      <c r="A21" s="6"/>
      <c r="D21" s="10"/>
      <c r="F21" s="10"/>
      <c r="G21" s="10"/>
      <c r="H21" s="10"/>
      <c r="I21" s="10"/>
      <c r="J21" s="10"/>
      <c r="K21" s="10"/>
      <c r="L21" s="10"/>
      <c r="M21" s="10"/>
    </row>
    <row r="22" spans="1:24">
      <c r="A22" s="6"/>
      <c r="D22" s="10"/>
      <c r="F22" s="10"/>
      <c r="G22" s="10"/>
      <c r="H22" s="10"/>
      <c r="I22" s="10"/>
      <c r="J22" s="10"/>
      <c r="K22" s="10"/>
      <c r="L22" s="10"/>
      <c r="M22" s="10"/>
    </row>
    <row r="23" spans="1:24">
      <c r="A23" s="6"/>
      <c r="C23" s="25"/>
      <c r="D23" s="26"/>
    </row>
    <row r="24" spans="1:24" ht="42">
      <c r="A24" s="6"/>
      <c r="B24" s="28" t="s">
        <v>102</v>
      </c>
      <c r="C24" s="70" t="s">
        <v>116</v>
      </c>
      <c r="D24" s="127" t="s">
        <v>51</v>
      </c>
      <c r="E24" s="128" t="s">
        <v>52</v>
      </c>
      <c r="F24" s="128" t="s">
        <v>128</v>
      </c>
      <c r="G24" s="128" t="s">
        <v>141</v>
      </c>
      <c r="H24" s="128" t="s">
        <v>138</v>
      </c>
      <c r="I24" s="128" t="s">
        <v>131</v>
      </c>
      <c r="J24" s="128" t="s">
        <v>139</v>
      </c>
      <c r="K24" s="128" t="s">
        <v>140</v>
      </c>
      <c r="L24" s="128" t="s">
        <v>136</v>
      </c>
      <c r="M24" s="128" t="s">
        <v>137</v>
      </c>
      <c r="N24" s="128" t="s">
        <v>53</v>
      </c>
      <c r="O24" s="128" t="s">
        <v>171</v>
      </c>
      <c r="P24" s="128" t="s">
        <v>172</v>
      </c>
      <c r="Q24" s="128" t="s">
        <v>173</v>
      </c>
      <c r="R24" s="128" t="s">
        <v>174</v>
      </c>
      <c r="S24" s="128" t="s">
        <v>54</v>
      </c>
      <c r="T24" s="128" t="s">
        <v>55</v>
      </c>
      <c r="U24" s="129" t="s">
        <v>88</v>
      </c>
      <c r="V24" s="55" t="s">
        <v>56</v>
      </c>
    </row>
    <row r="25" spans="1:24" ht="15">
      <c r="A25" s="6"/>
      <c r="B25" s="105" t="s">
        <v>66</v>
      </c>
      <c r="C25" s="67" t="s">
        <v>164</v>
      </c>
      <c r="D25" s="106"/>
      <c r="E25" s="110">
        <v>1</v>
      </c>
      <c r="F25" s="107"/>
      <c r="G25" s="110">
        <v>0.9</v>
      </c>
      <c r="H25" s="107"/>
      <c r="I25" s="110">
        <v>1</v>
      </c>
      <c r="J25" s="110">
        <v>1</v>
      </c>
      <c r="K25" s="107"/>
      <c r="L25" s="107"/>
      <c r="M25" s="107"/>
      <c r="N25" s="107"/>
      <c r="O25" s="110">
        <v>0.75</v>
      </c>
      <c r="P25" s="107"/>
      <c r="Q25" s="107"/>
      <c r="R25" s="107"/>
      <c r="S25" s="107"/>
      <c r="T25" s="107"/>
      <c r="U25" s="111">
        <v>0</v>
      </c>
      <c r="V25" s="68"/>
      <c r="W25" s="8"/>
      <c r="X25" s="64" t="s">
        <v>142</v>
      </c>
    </row>
    <row r="26" spans="1:24" ht="15">
      <c r="A26" s="6"/>
      <c r="B26" s="105" t="s">
        <v>66</v>
      </c>
      <c r="C26" s="69" t="s">
        <v>165</v>
      </c>
      <c r="D26" s="108"/>
      <c r="E26" s="112">
        <f>1-E25</f>
        <v>0</v>
      </c>
      <c r="F26" s="109"/>
      <c r="G26" s="112">
        <f>1-G25</f>
        <v>9.9999999999999978E-2</v>
      </c>
      <c r="H26" s="109"/>
      <c r="I26" s="112">
        <f>1-I25</f>
        <v>0</v>
      </c>
      <c r="J26" s="112">
        <f>1-J25</f>
        <v>0</v>
      </c>
      <c r="K26" s="109"/>
      <c r="L26" s="109"/>
      <c r="M26" s="109"/>
      <c r="N26" s="109"/>
      <c r="O26" s="112">
        <f>1-O25</f>
        <v>0.25</v>
      </c>
      <c r="P26" s="109"/>
      <c r="Q26" s="109"/>
      <c r="R26" s="109"/>
      <c r="S26" s="109"/>
      <c r="T26" s="109"/>
      <c r="U26" s="113">
        <f>1-U25</f>
        <v>1</v>
      </c>
      <c r="V26" s="57"/>
      <c r="W26" s="8"/>
      <c r="X26" s="66" t="s">
        <v>163</v>
      </c>
    </row>
    <row r="27" spans="1:24">
      <c r="A27" s="6"/>
      <c r="V27" s="8"/>
    </row>
    <row r="28" spans="1:24">
      <c r="A28" s="6"/>
      <c r="V28" s="8"/>
    </row>
    <row r="29" spans="1:24" ht="14">
      <c r="A29" s="6"/>
      <c r="C29" s="71" t="s">
        <v>106</v>
      </c>
      <c r="D29" s="73" t="s">
        <v>107</v>
      </c>
      <c r="E29" s="72" t="s">
        <v>108</v>
      </c>
      <c r="V29" s="8"/>
    </row>
    <row r="30" spans="1:24" ht="14">
      <c r="A30" s="6"/>
      <c r="B30" s="24" t="s">
        <v>117</v>
      </c>
      <c r="C30" s="103" t="s">
        <v>109</v>
      </c>
      <c r="D30" s="103" t="s">
        <v>110</v>
      </c>
      <c r="E30" s="104" t="s">
        <v>108</v>
      </c>
      <c r="V30" s="8"/>
    </row>
    <row r="31" spans="1:24">
      <c r="A31" s="6"/>
      <c r="B31" s="56" t="s">
        <v>66</v>
      </c>
      <c r="C31" s="130">
        <v>1</v>
      </c>
      <c r="D31" s="131"/>
      <c r="E31" s="132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G5"/>
  <sheetViews>
    <sheetView zoomScale="90" zoomScaleNormal="90" workbookViewId="0">
      <selection activeCell="D7" sqref="D7"/>
    </sheetView>
  </sheetViews>
  <sheetFormatPr baseColWidth="10" defaultRowHeight="13"/>
  <cols>
    <col min="1" max="1" width="1.83203125" customWidth="1"/>
    <col min="2" max="2" width="7.6640625" customWidth="1"/>
    <col min="3" max="3" width="6.83203125" customWidth="1"/>
    <col min="4" max="256" width="8.83203125" customWidth="1"/>
  </cols>
  <sheetData>
    <row r="3" spans="2:7" ht="18">
      <c r="B3" s="86" t="s">
        <v>161</v>
      </c>
    </row>
    <row r="5" spans="2:7">
      <c r="D5" s="87" t="s">
        <v>166</v>
      </c>
      <c r="E5" s="87"/>
      <c r="F5" s="87"/>
      <c r="G5" s="87"/>
    </row>
  </sheetData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6"/>
  <sheetViews>
    <sheetView zoomScaleNormal="100" workbookViewId="0">
      <selection activeCell="H22" sqref="H22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2" t="s">
        <v>73</v>
      </c>
      <c r="C1" s="12" t="s">
        <v>74</v>
      </c>
      <c r="D1" s="12" t="s">
        <v>75</v>
      </c>
      <c r="E1" s="12" t="s">
        <v>113</v>
      </c>
      <c r="F1" s="12" t="s">
        <v>94</v>
      </c>
      <c r="G1" s="12" t="s">
        <v>100</v>
      </c>
      <c r="H1" s="43"/>
    </row>
    <row r="2" spans="2:18" ht="16">
      <c r="B2" s="14" t="str">
        <f>'EB1'!B9</f>
        <v>TRA</v>
      </c>
      <c r="C2" s="14" t="str">
        <f>'EB1'!C9</f>
        <v>Transport</v>
      </c>
      <c r="D2" s="14" t="s">
        <v>111</v>
      </c>
      <c r="E2" s="14" t="str">
        <f>'EB1'!Z2</f>
        <v>PJ</v>
      </c>
      <c r="F2" s="14" t="str">
        <f>'EB1'!Y2</f>
        <v>M€2005</v>
      </c>
      <c r="G2" s="14" t="s">
        <v>101</v>
      </c>
      <c r="H2" s="13"/>
      <c r="J2" s="135" t="s">
        <v>14</v>
      </c>
      <c r="K2" s="135"/>
      <c r="L2" s="136"/>
      <c r="M2" s="136"/>
      <c r="N2" s="136"/>
      <c r="O2" s="136"/>
      <c r="P2" s="136"/>
      <c r="Q2" s="136"/>
      <c r="R2" s="136"/>
    </row>
    <row r="3" spans="2:18">
      <c r="J3" s="137" t="s">
        <v>7</v>
      </c>
      <c r="K3" s="138" t="s">
        <v>30</v>
      </c>
      <c r="L3" s="137" t="s">
        <v>0</v>
      </c>
      <c r="M3" s="137" t="s">
        <v>3</v>
      </c>
      <c r="N3" s="137" t="s">
        <v>4</v>
      </c>
      <c r="O3" s="137" t="s">
        <v>8</v>
      </c>
      <c r="P3" s="137" t="s">
        <v>9</v>
      </c>
      <c r="Q3" s="137" t="s">
        <v>10</v>
      </c>
      <c r="R3" s="137" t="s">
        <v>12</v>
      </c>
    </row>
    <row r="4" spans="2:18" s="6" customFormat="1" ht="26" thickBot="1">
      <c r="B4" s="13"/>
      <c r="C4" s="13"/>
      <c r="D4" s="13"/>
      <c r="E4" s="13"/>
      <c r="G4" s="13"/>
      <c r="J4" s="139" t="s">
        <v>37</v>
      </c>
      <c r="K4" s="139" t="s">
        <v>31</v>
      </c>
      <c r="L4" s="139" t="s">
        <v>26</v>
      </c>
      <c r="M4" s="139" t="s">
        <v>27</v>
      </c>
      <c r="N4" s="139" t="s">
        <v>4</v>
      </c>
      <c r="O4" s="139" t="s">
        <v>40</v>
      </c>
      <c r="P4" s="139" t="s">
        <v>41</v>
      </c>
      <c r="Q4" s="139" t="s">
        <v>28</v>
      </c>
      <c r="R4" s="139" t="s">
        <v>29</v>
      </c>
    </row>
    <row r="5" spans="2:18" ht="14">
      <c r="B5" s="8"/>
      <c r="C5" s="8"/>
      <c r="D5" s="8"/>
      <c r="E5" s="16"/>
      <c r="F5" s="16"/>
      <c r="G5" s="85"/>
      <c r="H5" s="15"/>
      <c r="J5" s="140" t="s">
        <v>72</v>
      </c>
      <c r="K5" s="140"/>
      <c r="L5" s="140" t="str">
        <f>$B$2&amp;'EB1'!$E$2</f>
        <v>TRAGAS</v>
      </c>
      <c r="M5" s="141" t="str">
        <f>$C$2&amp;" "&amp;'EB1'!$E$3</f>
        <v>Transport Natural Gas</v>
      </c>
      <c r="N5" s="140" t="str">
        <f t="shared" ref="N5:N10" si="0">$E$2</f>
        <v>PJ</v>
      </c>
      <c r="O5" s="140"/>
      <c r="P5" s="140"/>
      <c r="Q5" s="140"/>
      <c r="R5" s="140"/>
    </row>
    <row r="6" spans="2:18" ht="14">
      <c r="B6" s="8"/>
      <c r="C6" s="8"/>
      <c r="D6" s="8"/>
      <c r="E6" s="16"/>
      <c r="F6" s="16"/>
      <c r="G6" s="85"/>
      <c r="H6" s="15"/>
      <c r="J6" s="140"/>
      <c r="K6" s="140"/>
      <c r="L6" s="140" t="str">
        <f>$B$2&amp;'EB1'!$G$2</f>
        <v>TRADSL</v>
      </c>
      <c r="M6" s="141" t="str">
        <f>$C$2&amp;" "&amp;'EB1'!$G$3</f>
        <v>Transport Diesel oil</v>
      </c>
      <c r="N6" s="140" t="str">
        <f t="shared" si="0"/>
        <v>PJ</v>
      </c>
      <c r="O6" s="140"/>
      <c r="P6" s="140"/>
      <c r="Q6" s="140"/>
      <c r="R6" s="140"/>
    </row>
    <row r="7" spans="2:18" ht="14">
      <c r="B7" s="8"/>
      <c r="C7" s="8"/>
      <c r="D7" s="8"/>
      <c r="E7" s="16"/>
      <c r="F7" s="16"/>
      <c r="G7" s="85"/>
      <c r="H7" s="15"/>
      <c r="J7" s="140"/>
      <c r="K7" s="140"/>
      <c r="L7" s="140" t="str">
        <f>$B$2&amp;'EB1'!$I$2</f>
        <v>TRALPG</v>
      </c>
      <c r="M7" s="141" t="str">
        <f>$C$2&amp;" "&amp;'EB1'!$I$3</f>
        <v>Transport LPG</v>
      </c>
      <c r="N7" s="140" t="str">
        <f t="shared" si="0"/>
        <v>PJ</v>
      </c>
      <c r="O7" s="140"/>
      <c r="P7" s="140"/>
      <c r="Q7" s="140"/>
      <c r="R7" s="140"/>
    </row>
    <row r="8" spans="2:18" ht="14">
      <c r="B8" s="8"/>
      <c r="C8" s="8"/>
      <c r="D8" s="8"/>
      <c r="E8" s="16"/>
      <c r="F8" s="16"/>
      <c r="G8" s="85"/>
      <c r="H8" s="15"/>
      <c r="J8" s="140"/>
      <c r="K8" s="140"/>
      <c r="L8" s="140" t="str">
        <f>$B$2&amp;'EB1'!$J$2</f>
        <v>TRAGSL</v>
      </c>
      <c r="M8" s="141" t="str">
        <f>$C$2&amp;" "&amp;'EB1'!$J$3</f>
        <v>Transport Motor spirit</v>
      </c>
      <c r="N8" s="140" t="str">
        <f t="shared" si="0"/>
        <v>PJ</v>
      </c>
      <c r="O8" s="140"/>
      <c r="P8" s="140"/>
      <c r="Q8" s="140"/>
      <c r="R8" s="140"/>
    </row>
    <row r="9" spans="2:18" ht="14">
      <c r="B9" s="8"/>
      <c r="C9" s="8"/>
      <c r="D9" s="8"/>
      <c r="E9" s="16"/>
      <c r="F9" s="16"/>
      <c r="G9" s="85"/>
      <c r="H9" s="15"/>
      <c r="J9" s="140"/>
      <c r="K9" s="140"/>
      <c r="L9" s="140" t="str">
        <f>$B$2&amp;'EB1'!$O$2</f>
        <v>TRABIO</v>
      </c>
      <c r="M9" s="141" t="str">
        <f>$C$2&amp;" "&amp;'EB1'!O3</f>
        <v>Transport Biofuels</v>
      </c>
      <c r="N9" s="140" t="str">
        <f t="shared" si="0"/>
        <v>PJ</v>
      </c>
      <c r="O9" s="140"/>
      <c r="P9" s="142"/>
      <c r="Q9" s="142"/>
      <c r="R9" s="142"/>
    </row>
    <row r="10" spans="2:18" ht="14">
      <c r="B10" s="8"/>
      <c r="C10" s="8"/>
      <c r="D10" s="8"/>
      <c r="E10" s="16"/>
      <c r="F10" s="16"/>
      <c r="G10" s="85"/>
      <c r="H10" s="15"/>
      <c r="J10" s="140"/>
      <c r="K10" s="140"/>
      <c r="L10" s="140" t="str">
        <f>$B$2&amp;'EB1'!$U$2</f>
        <v>TRAELC</v>
      </c>
      <c r="M10" s="141" t="str">
        <f>$C$2&amp;" "&amp;'EB1'!$U$3</f>
        <v>Transport Electricity</v>
      </c>
      <c r="N10" s="140" t="str">
        <f t="shared" si="0"/>
        <v>PJ</v>
      </c>
      <c r="O10" s="140"/>
      <c r="P10" s="140" t="s">
        <v>125</v>
      </c>
      <c r="Q10" s="140"/>
      <c r="R10" s="140" t="s">
        <v>50</v>
      </c>
    </row>
    <row r="11" spans="2:18">
      <c r="L11" s="32"/>
      <c r="M11" s="34"/>
    </row>
    <row r="12" spans="2:18">
      <c r="D12" s="5" t="s">
        <v>13</v>
      </c>
      <c r="E12" s="5"/>
      <c r="F12" s="5"/>
      <c r="J12" s="135" t="s">
        <v>15</v>
      </c>
      <c r="K12" s="135"/>
      <c r="L12" s="142"/>
      <c r="M12" s="142"/>
      <c r="N12" s="142"/>
      <c r="O12" s="142"/>
      <c r="P12" s="142"/>
      <c r="Q12" s="142"/>
      <c r="R12" s="142"/>
    </row>
    <row r="13" spans="2:18" ht="14">
      <c r="B13" s="21" t="s">
        <v>1</v>
      </c>
      <c r="C13" s="21" t="s">
        <v>5</v>
      </c>
      <c r="D13" s="21" t="s">
        <v>6</v>
      </c>
      <c r="E13" s="91" t="s">
        <v>155</v>
      </c>
      <c r="F13" s="88" t="s">
        <v>127</v>
      </c>
      <c r="G13" s="88" t="s">
        <v>85</v>
      </c>
      <c r="H13" s="88" t="s">
        <v>79</v>
      </c>
      <c r="J13" s="137" t="s">
        <v>11</v>
      </c>
      <c r="K13" s="138" t="s">
        <v>30</v>
      </c>
      <c r="L13" s="137" t="s">
        <v>1</v>
      </c>
      <c r="M13" s="137" t="s">
        <v>2</v>
      </c>
      <c r="N13" s="137" t="s">
        <v>16</v>
      </c>
      <c r="O13" s="137" t="s">
        <v>17</v>
      </c>
      <c r="P13" s="137" t="s">
        <v>18</v>
      </c>
      <c r="Q13" s="137" t="s">
        <v>19</v>
      </c>
      <c r="R13" s="137" t="s">
        <v>20</v>
      </c>
    </row>
    <row r="14" spans="2:18" ht="25" thickBot="1">
      <c r="B14" s="20" t="s">
        <v>39</v>
      </c>
      <c r="C14" s="20" t="s">
        <v>32</v>
      </c>
      <c r="D14" s="20" t="s">
        <v>33</v>
      </c>
      <c r="E14" s="20" t="s">
        <v>154</v>
      </c>
      <c r="F14" s="20" t="s">
        <v>34</v>
      </c>
      <c r="G14" s="20" t="s">
        <v>90</v>
      </c>
      <c r="H14" s="20" t="s">
        <v>177</v>
      </c>
      <c r="J14" s="139" t="s">
        <v>38</v>
      </c>
      <c r="K14" s="139" t="s">
        <v>31</v>
      </c>
      <c r="L14" s="139" t="s">
        <v>21</v>
      </c>
      <c r="M14" s="139" t="s">
        <v>22</v>
      </c>
      <c r="N14" s="139" t="s">
        <v>23</v>
      </c>
      <c r="O14" s="139" t="s">
        <v>24</v>
      </c>
      <c r="P14" s="139" t="s">
        <v>43</v>
      </c>
      <c r="Q14" s="139" t="s">
        <v>42</v>
      </c>
      <c r="R14" s="139" t="s">
        <v>25</v>
      </c>
    </row>
    <row r="15" spans="2:18" ht="14" thickBot="1">
      <c r="B15" s="19" t="s">
        <v>91</v>
      </c>
      <c r="C15" s="19"/>
      <c r="D15" s="19"/>
      <c r="E15" s="17"/>
      <c r="F15" s="17" t="str">
        <f>E2&amp;"a"</f>
        <v>PJa</v>
      </c>
      <c r="G15" s="17"/>
      <c r="H15" s="17" t="s">
        <v>92</v>
      </c>
      <c r="J15" s="139" t="s">
        <v>81</v>
      </c>
      <c r="K15" s="143"/>
      <c r="L15" s="143"/>
      <c r="M15" s="143"/>
      <c r="N15" s="143"/>
      <c r="O15" s="143"/>
      <c r="P15" s="143"/>
      <c r="Q15" s="143"/>
      <c r="R15" s="143"/>
    </row>
    <row r="16" spans="2:18" ht="14">
      <c r="B16" t="str">
        <f t="shared" ref="B16:B21" si="1">L16</f>
        <v>FTE-TRAGAS</v>
      </c>
      <c r="C16" t="str">
        <f t="shared" ref="C16:C21" si="2">RIGHT(D16,3)</f>
        <v>GAS</v>
      </c>
      <c r="D16" t="str">
        <f t="shared" ref="D16:D21" si="3">L5</f>
        <v>TRAGAS</v>
      </c>
      <c r="E16" s="16"/>
      <c r="F16" s="16"/>
      <c r="G16" s="78">
        <v>1</v>
      </c>
      <c r="H16" s="79">
        <v>30</v>
      </c>
      <c r="J16" s="144" t="s">
        <v>112</v>
      </c>
      <c r="K16" s="140"/>
      <c r="L16" s="140" t="str">
        <f t="shared" ref="L16:L21" si="4">"FT"&amp;$G$2&amp;"-"&amp;L5</f>
        <v>FTE-TRAGAS</v>
      </c>
      <c r="M16" s="141" t="str">
        <f t="shared" ref="M16:M21" si="5">$D$2&amp;" Technology"&amp;" "&amp;$G$1&amp;" "&amp;M5</f>
        <v>Sector Fuel Technology Existing Transport Natural Gas</v>
      </c>
      <c r="N16" s="140" t="str">
        <f t="shared" ref="N16:N21" si="6">$E$2</f>
        <v>PJ</v>
      </c>
      <c r="O16" s="140" t="str">
        <f t="shared" ref="O16:O21" si="7">$E$2&amp;"a"</f>
        <v>PJa</v>
      </c>
      <c r="P16" s="140"/>
      <c r="Q16" s="140"/>
      <c r="R16" s="140"/>
    </row>
    <row r="17" spans="2:18" ht="14">
      <c r="B17" t="str">
        <f t="shared" si="1"/>
        <v>FTE-TRADSL</v>
      </c>
      <c r="C17" t="str">
        <f t="shared" si="2"/>
        <v>DSL</v>
      </c>
      <c r="D17" t="str">
        <f t="shared" si="3"/>
        <v>TRADSL</v>
      </c>
      <c r="E17" s="16"/>
      <c r="F17" s="16"/>
      <c r="G17" s="78">
        <v>1</v>
      </c>
      <c r="H17" s="79">
        <v>30</v>
      </c>
      <c r="J17" s="144"/>
      <c r="K17" s="140"/>
      <c r="L17" s="140" t="str">
        <f t="shared" si="4"/>
        <v>FTE-TRADSL</v>
      </c>
      <c r="M17" s="141" t="str">
        <f t="shared" si="5"/>
        <v>Sector Fuel Technology Existing Transport Diesel oil</v>
      </c>
      <c r="N17" s="140" t="str">
        <f t="shared" si="6"/>
        <v>PJ</v>
      </c>
      <c r="O17" s="140" t="str">
        <f t="shared" si="7"/>
        <v>PJa</v>
      </c>
      <c r="P17" s="140"/>
      <c r="Q17" s="140"/>
      <c r="R17" s="140"/>
    </row>
    <row r="18" spans="2:18" ht="14">
      <c r="B18" t="str">
        <f t="shared" si="1"/>
        <v>FTE-TRALPG</v>
      </c>
      <c r="C18" t="str">
        <f t="shared" si="2"/>
        <v>LPG</v>
      </c>
      <c r="D18" t="str">
        <f t="shared" si="3"/>
        <v>TRALPG</v>
      </c>
      <c r="E18" s="16"/>
      <c r="F18" s="16"/>
      <c r="G18" s="78">
        <v>1</v>
      </c>
      <c r="H18" s="79">
        <v>30</v>
      </c>
      <c r="J18" s="140"/>
      <c r="K18" s="140"/>
      <c r="L18" s="140" t="str">
        <f t="shared" si="4"/>
        <v>FTE-TRALPG</v>
      </c>
      <c r="M18" s="141" t="str">
        <f t="shared" si="5"/>
        <v>Sector Fuel Technology Existing Transport LPG</v>
      </c>
      <c r="N18" s="140" t="str">
        <f t="shared" si="6"/>
        <v>PJ</v>
      </c>
      <c r="O18" s="140" t="str">
        <f t="shared" si="7"/>
        <v>PJa</v>
      </c>
      <c r="P18" s="140"/>
      <c r="Q18" s="140"/>
      <c r="R18" s="140"/>
    </row>
    <row r="19" spans="2:18" ht="14">
      <c r="B19" t="str">
        <f t="shared" si="1"/>
        <v>FTE-TRAGSL</v>
      </c>
      <c r="C19" t="str">
        <f t="shared" si="2"/>
        <v>GSL</v>
      </c>
      <c r="D19" t="str">
        <f t="shared" si="3"/>
        <v>TRAGSL</v>
      </c>
      <c r="E19" s="16"/>
      <c r="F19" s="16"/>
      <c r="G19" s="78">
        <v>1</v>
      </c>
      <c r="H19" s="79">
        <v>30</v>
      </c>
      <c r="J19" s="140"/>
      <c r="K19" s="140"/>
      <c r="L19" s="140" t="str">
        <f t="shared" si="4"/>
        <v>FTE-TRAGSL</v>
      </c>
      <c r="M19" s="141" t="str">
        <f t="shared" si="5"/>
        <v>Sector Fuel Technology Existing Transport Motor spirit</v>
      </c>
      <c r="N19" s="140" t="str">
        <f t="shared" si="6"/>
        <v>PJ</v>
      </c>
      <c r="O19" s="140" t="str">
        <f t="shared" si="7"/>
        <v>PJa</v>
      </c>
      <c r="P19" s="140"/>
      <c r="Q19" s="140"/>
      <c r="R19" s="140"/>
    </row>
    <row r="20" spans="2:18" ht="14">
      <c r="B20" t="str">
        <f t="shared" si="1"/>
        <v>FTE-TRABIO</v>
      </c>
      <c r="C20" t="str">
        <f t="shared" si="2"/>
        <v>BIO</v>
      </c>
      <c r="D20" t="str">
        <f t="shared" si="3"/>
        <v>TRABIO</v>
      </c>
      <c r="E20" s="16"/>
      <c r="F20" s="16"/>
      <c r="G20" s="78">
        <v>1</v>
      </c>
      <c r="H20" s="79">
        <v>30</v>
      </c>
      <c r="J20" s="140"/>
      <c r="K20" s="140"/>
      <c r="L20" s="140" t="str">
        <f t="shared" si="4"/>
        <v>FTE-TRABIO</v>
      </c>
      <c r="M20" s="141" t="str">
        <f t="shared" si="5"/>
        <v>Sector Fuel Technology Existing Transport Biofuels</v>
      </c>
      <c r="N20" s="140" t="str">
        <f t="shared" si="6"/>
        <v>PJ</v>
      </c>
      <c r="O20" s="140" t="str">
        <f t="shared" si="7"/>
        <v>PJa</v>
      </c>
      <c r="P20" s="140"/>
      <c r="Q20" s="140"/>
      <c r="R20" s="140"/>
    </row>
    <row r="21" spans="2:18" ht="14">
      <c r="B21" t="str">
        <f t="shared" si="1"/>
        <v>FTE-TRAELC</v>
      </c>
      <c r="C21" t="str">
        <f t="shared" si="2"/>
        <v>ELC</v>
      </c>
      <c r="D21" t="str">
        <f t="shared" si="3"/>
        <v>TRAELC</v>
      </c>
      <c r="E21" s="16"/>
      <c r="F21" s="16"/>
      <c r="G21" s="78">
        <v>1</v>
      </c>
      <c r="H21" s="79">
        <v>30</v>
      </c>
      <c r="J21" s="140"/>
      <c r="K21" s="140"/>
      <c r="L21" s="140" t="str">
        <f t="shared" si="4"/>
        <v>FTE-TRAELC</v>
      </c>
      <c r="M21" s="141" t="str">
        <f t="shared" si="5"/>
        <v>Sector Fuel Technology Existing Transport Electricity</v>
      </c>
      <c r="N21" s="140" t="str">
        <f t="shared" si="6"/>
        <v>PJ</v>
      </c>
      <c r="O21" s="140" t="str">
        <f t="shared" si="7"/>
        <v>PJa</v>
      </c>
      <c r="P21" s="140" t="s">
        <v>125</v>
      </c>
      <c r="Q21" s="140"/>
      <c r="R21" s="140"/>
    </row>
    <row r="22" spans="2:18">
      <c r="B22" s="6"/>
      <c r="C22" s="6"/>
      <c r="D22" s="6"/>
      <c r="E22" s="16"/>
      <c r="F22" s="16"/>
      <c r="G22" s="85"/>
      <c r="H22" s="15"/>
      <c r="J22" s="6"/>
      <c r="K22" s="6"/>
      <c r="L22" s="6"/>
      <c r="M22" s="23"/>
      <c r="N22" s="6"/>
      <c r="O22" s="6"/>
      <c r="P22" s="6"/>
      <c r="Q22" s="6"/>
      <c r="R22" s="6"/>
    </row>
    <row r="23" spans="2:18">
      <c r="B23" s="38"/>
      <c r="C23" s="38"/>
      <c r="D23" s="38"/>
      <c r="E23" s="16"/>
      <c r="F23" s="16"/>
      <c r="G23" s="85"/>
      <c r="H23" s="15"/>
      <c r="J23" s="6"/>
      <c r="K23" s="6"/>
      <c r="L23" s="6"/>
      <c r="M23" s="23"/>
      <c r="N23" s="6"/>
      <c r="O23" s="6"/>
      <c r="P23" s="6"/>
      <c r="Q23" s="6"/>
      <c r="R23" s="6"/>
    </row>
    <row r="24" spans="2:18">
      <c r="B24" s="31"/>
      <c r="C24" s="6"/>
      <c r="D24" s="31"/>
      <c r="E24" s="16"/>
      <c r="F24" s="16"/>
      <c r="G24" s="85"/>
      <c r="H24" s="15"/>
      <c r="J24" s="6"/>
      <c r="K24" s="6"/>
      <c r="L24" s="6"/>
      <c r="M24" s="23"/>
      <c r="N24" s="6"/>
      <c r="O24" s="6"/>
      <c r="P24" s="6"/>
      <c r="Q24" s="6"/>
      <c r="R24" s="6"/>
    </row>
    <row r="25" spans="2:18">
      <c r="B25" s="31"/>
      <c r="C25" s="6"/>
      <c r="D25" s="31"/>
      <c r="E25" s="16"/>
      <c r="F25" s="16"/>
      <c r="G25" s="85"/>
      <c r="H25" s="15"/>
      <c r="J25" s="30"/>
      <c r="K25" s="29"/>
      <c r="L25" s="6"/>
      <c r="M25" s="23"/>
      <c r="N25" s="6"/>
      <c r="O25" s="6"/>
      <c r="P25" s="6"/>
      <c r="Q25" s="6"/>
      <c r="R25" s="6"/>
    </row>
    <row r="26" spans="2:18">
      <c r="B26" s="31"/>
      <c r="C26" s="6"/>
      <c r="D26" s="31"/>
      <c r="E26" s="114"/>
      <c r="F26" s="16"/>
      <c r="G26" s="85"/>
      <c r="H26" s="15"/>
      <c r="J26" s="29"/>
      <c r="K26" s="29"/>
      <c r="L26" s="6"/>
      <c r="M26" s="23"/>
      <c r="N26" s="6"/>
      <c r="O26" s="6"/>
      <c r="P26" s="6"/>
      <c r="Q26" s="6"/>
      <c r="R26" s="6"/>
    </row>
    <row r="27" spans="2:18">
      <c r="B27" s="31"/>
      <c r="C27" s="6"/>
      <c r="D27" s="31"/>
      <c r="E27" s="114"/>
      <c r="F27" s="16"/>
      <c r="G27" s="85"/>
      <c r="H27" s="15"/>
      <c r="J27" s="37"/>
      <c r="K27" s="33"/>
      <c r="L27" s="6"/>
      <c r="M27" s="23"/>
      <c r="N27" s="6"/>
      <c r="O27" s="6"/>
      <c r="P27" s="6"/>
      <c r="Q27" s="6"/>
      <c r="R27" s="6"/>
    </row>
    <row r="28" spans="2:18">
      <c r="B28" s="31"/>
      <c r="C28" s="6"/>
      <c r="D28" s="31"/>
      <c r="E28" s="114"/>
      <c r="F28" s="16"/>
      <c r="G28" s="85"/>
      <c r="H28" s="15"/>
      <c r="J28" s="38"/>
      <c r="K28" s="38"/>
      <c r="L28" s="6"/>
      <c r="M28" s="23"/>
      <c r="N28" s="6"/>
      <c r="O28" s="6"/>
      <c r="P28" s="38"/>
      <c r="Q28" s="38"/>
      <c r="R28" s="6"/>
    </row>
    <row r="29" spans="2:18">
      <c r="B29" s="31"/>
      <c r="C29" s="6"/>
      <c r="D29" s="31"/>
      <c r="E29" s="114"/>
      <c r="F29" s="16"/>
      <c r="G29" s="85"/>
      <c r="H29" s="15"/>
      <c r="J29" s="6"/>
      <c r="K29" s="6"/>
      <c r="L29" s="6"/>
      <c r="M29" s="6"/>
      <c r="N29" s="6"/>
      <c r="O29" s="6"/>
      <c r="P29" s="6"/>
      <c r="Q29" s="6"/>
      <c r="R29" s="6"/>
    </row>
    <row r="30" spans="2:18">
      <c r="B30" s="32"/>
      <c r="C30" s="6"/>
      <c r="D30" s="31"/>
      <c r="E30" s="16"/>
      <c r="F30" s="16"/>
      <c r="G30" s="85"/>
      <c r="H30" s="15"/>
    </row>
    <row r="31" spans="2:18">
      <c r="B31" s="32"/>
      <c r="C31" s="6"/>
      <c r="D31" s="31"/>
      <c r="E31" s="16"/>
      <c r="F31" s="16"/>
      <c r="G31" s="85"/>
      <c r="H31" s="15"/>
    </row>
    <row r="35" spans="2:3">
      <c r="B35" s="58"/>
      <c r="C35" s="1" t="s">
        <v>159</v>
      </c>
    </row>
    <row r="36" spans="2:3">
      <c r="B36" s="77"/>
      <c r="C36" s="1" t="s">
        <v>160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2"/>
  <sheetViews>
    <sheetView zoomScale="90" zoomScaleNormal="90" workbookViewId="0">
      <selection activeCell="S18" sqref="S18"/>
    </sheetView>
  </sheetViews>
  <sheetFormatPr baseColWidth="10" defaultRowHeight="13"/>
  <cols>
    <col min="1" max="1" width="3" customWidth="1"/>
    <col min="2" max="2" width="12.1640625" bestFit="1" customWidth="1"/>
    <col min="3" max="3" width="12" customWidth="1"/>
    <col min="4" max="4" width="13.83203125" customWidth="1"/>
    <col min="5" max="5" width="12.33203125" bestFit="1" customWidth="1"/>
    <col min="6" max="6" width="13.1640625" bestFit="1" customWidth="1"/>
    <col min="7" max="7" width="10.5" bestFit="1" customWidth="1"/>
    <col min="8" max="8" width="15.1640625" bestFit="1" customWidth="1"/>
    <col min="9" max="9" width="15.5" bestFit="1" customWidth="1"/>
    <col min="10" max="10" width="8.83203125" customWidth="1"/>
    <col min="11" max="11" width="13.5" bestFit="1" customWidth="1"/>
    <col min="12" max="12" width="2" style="38" bestFit="1" customWidth="1"/>
    <col min="13" max="13" width="13.83203125" customWidth="1"/>
    <col min="14" max="14" width="2" customWidth="1"/>
    <col min="15" max="15" width="12.5" customWidth="1"/>
    <col min="16" max="16" width="7.1640625" customWidth="1"/>
    <col min="17" max="17" width="11" customWidth="1"/>
    <col min="18" max="18" width="63.5" bestFit="1" customWidth="1"/>
    <col min="19" max="19" width="7.6640625" customWidth="1"/>
    <col min="20" max="20" width="12" customWidth="1"/>
    <col min="21" max="21" width="12.83203125" bestFit="1" customWidth="1"/>
    <col min="22" max="22" width="13.33203125" customWidth="1"/>
    <col min="23" max="23" width="8" bestFit="1" customWidth="1"/>
    <col min="24" max="256" width="8.83203125" customWidth="1"/>
  </cols>
  <sheetData>
    <row r="1" spans="2:23" ht="15">
      <c r="B1" s="12" t="s">
        <v>73</v>
      </c>
      <c r="C1" s="12" t="s">
        <v>75</v>
      </c>
      <c r="D1" s="12" t="s">
        <v>114</v>
      </c>
      <c r="E1" s="12" t="s">
        <v>77</v>
      </c>
      <c r="F1" s="12" t="s">
        <v>78</v>
      </c>
      <c r="G1" s="12" t="s">
        <v>143</v>
      </c>
      <c r="H1" s="12" t="s">
        <v>100</v>
      </c>
      <c r="I1" s="43"/>
    </row>
    <row r="2" spans="2:23" ht="34">
      <c r="B2" s="14" t="str">
        <f>'EB1'!B9</f>
        <v>TRA</v>
      </c>
      <c r="C2" s="14" t="str">
        <f>'EB1'!C9</f>
        <v>Transport</v>
      </c>
      <c r="D2" s="22" t="s">
        <v>115</v>
      </c>
      <c r="E2" s="14" t="str">
        <f>'EB1'!Z2</f>
        <v>PJ</v>
      </c>
      <c r="F2" s="14" t="str">
        <f>'EB1'!Y2</f>
        <v>M€2005</v>
      </c>
      <c r="G2" s="44" t="s">
        <v>144</v>
      </c>
      <c r="H2" s="14" t="s">
        <v>101</v>
      </c>
      <c r="I2" s="13"/>
      <c r="O2" s="135" t="s">
        <v>14</v>
      </c>
      <c r="P2" s="135"/>
      <c r="Q2" s="136"/>
      <c r="R2" s="136"/>
      <c r="S2" s="136"/>
      <c r="T2" s="136"/>
      <c r="U2" s="136"/>
      <c r="V2" s="136"/>
      <c r="W2" s="136"/>
    </row>
    <row r="3" spans="2:23">
      <c r="O3" s="137" t="s">
        <v>7</v>
      </c>
      <c r="P3" s="138" t="s">
        <v>30</v>
      </c>
      <c r="Q3" s="137" t="s">
        <v>0</v>
      </c>
      <c r="R3" s="137" t="s">
        <v>3</v>
      </c>
      <c r="S3" s="137" t="s">
        <v>4</v>
      </c>
      <c r="T3" s="137" t="s">
        <v>8</v>
      </c>
      <c r="U3" s="137" t="s">
        <v>9</v>
      </c>
      <c r="V3" s="137" t="s">
        <v>10</v>
      </c>
      <c r="W3" s="137" t="s">
        <v>12</v>
      </c>
    </row>
    <row r="4" spans="2:23" s="6" customFormat="1" ht="26" thickBot="1">
      <c r="B4" s="13"/>
      <c r="C4" s="13"/>
      <c r="D4" s="13"/>
      <c r="E4" s="13"/>
      <c r="F4" s="13"/>
      <c r="L4" s="38"/>
      <c r="O4" s="139" t="s">
        <v>37</v>
      </c>
      <c r="P4" s="139" t="s">
        <v>31</v>
      </c>
      <c r="Q4" s="139" t="s">
        <v>26</v>
      </c>
      <c r="R4" s="139" t="s">
        <v>27</v>
      </c>
      <c r="S4" s="139" t="s">
        <v>4</v>
      </c>
      <c r="T4" s="139" t="s">
        <v>40</v>
      </c>
      <c r="U4" s="139" t="s">
        <v>41</v>
      </c>
      <c r="V4" s="139" t="s">
        <v>28</v>
      </c>
      <c r="W4" s="139" t="s">
        <v>29</v>
      </c>
    </row>
    <row r="5" spans="2:23" s="6" customFormat="1" ht="16">
      <c r="B5" s="13"/>
      <c r="C5" s="13"/>
      <c r="D5" s="13"/>
      <c r="E5" s="13"/>
      <c r="F5" s="13"/>
      <c r="L5" s="38"/>
      <c r="O5" s="144" t="s">
        <v>83</v>
      </c>
      <c r="P5" s="140"/>
      <c r="Q5" s="144" t="str">
        <f>LEFT($O$5,1)&amp;LEFT($B$2,1)&amp;'EB1'!$C$25</f>
        <v>DTCAR</v>
      </c>
      <c r="R5" s="144" t="str">
        <f>LEFT($D$2,6)&amp;" "&amp;$C$2&amp; " Sector - "&amp;'EB1'!$X$25</f>
        <v>Demand Transport Sector - Cars</v>
      </c>
      <c r="S5" s="149" t="s">
        <v>183</v>
      </c>
      <c r="T5" s="144"/>
      <c r="U5" s="144"/>
      <c r="V5" s="144"/>
      <c r="W5" s="144"/>
    </row>
    <row r="6" spans="2:23" s="6" customFormat="1" ht="16">
      <c r="B6" s="13"/>
      <c r="C6" s="13"/>
      <c r="D6" s="13"/>
      <c r="E6" s="13"/>
      <c r="F6" s="13"/>
      <c r="L6" s="38"/>
      <c r="O6" s="144"/>
      <c r="P6" s="140"/>
      <c r="Q6" s="144" t="str">
        <f>LEFT($O$5,1)&amp;LEFT($B$2,1)&amp;'EB1'!$C$26</f>
        <v>DTPUB</v>
      </c>
      <c r="R6" s="144" t="str">
        <f>LEFT($D$2,6)&amp;" "&amp;$C$2&amp; " Sector - "&amp;'EB1'!$X$26</f>
        <v>Demand Transport Sector - Pub</v>
      </c>
      <c r="S6" s="149" t="s">
        <v>183</v>
      </c>
      <c r="T6" s="144"/>
      <c r="U6" s="144"/>
      <c r="V6" s="144"/>
      <c r="W6" s="144"/>
    </row>
    <row r="7" spans="2:23">
      <c r="O7" s="142" t="s">
        <v>105</v>
      </c>
      <c r="P7" s="142"/>
      <c r="Q7" s="142" t="str">
        <f>$B$2&amp;'EB1'!$C$29</f>
        <v>TRACO2</v>
      </c>
      <c r="R7" s="142" t="str">
        <f>$C$2&amp;" "&amp;'EB1'!$C$30</f>
        <v>Transport Carbon dioxide</v>
      </c>
      <c r="S7" s="142" t="str">
        <f>'EB1'!$AA$2</f>
        <v>kt</v>
      </c>
      <c r="T7" s="142"/>
      <c r="U7" s="142"/>
      <c r="V7" s="142"/>
      <c r="W7" s="142"/>
    </row>
    <row r="9" spans="2:23">
      <c r="D9" s="5" t="s">
        <v>13</v>
      </c>
      <c r="E9" s="5"/>
      <c r="G9" s="5"/>
      <c r="I9" s="4"/>
      <c r="J9" s="18"/>
      <c r="O9" s="135" t="s">
        <v>15</v>
      </c>
      <c r="P9" s="135"/>
      <c r="Q9" s="142"/>
      <c r="R9" s="142"/>
      <c r="S9" s="142"/>
      <c r="T9" s="142"/>
      <c r="U9" s="142"/>
      <c r="V9" s="142"/>
      <c r="W9" s="142"/>
    </row>
    <row r="10" spans="2:23" ht="14">
      <c r="B10" s="21" t="s">
        <v>1</v>
      </c>
      <c r="C10" s="21" t="s">
        <v>5</v>
      </c>
      <c r="D10" s="21" t="s">
        <v>6</v>
      </c>
      <c r="E10" s="88" t="s">
        <v>127</v>
      </c>
      <c r="F10" s="88" t="s">
        <v>85</v>
      </c>
      <c r="G10" s="88" t="s">
        <v>98</v>
      </c>
      <c r="H10" s="88" t="s">
        <v>146</v>
      </c>
      <c r="I10" s="88" t="s">
        <v>84</v>
      </c>
      <c r="J10" s="88" t="s">
        <v>79</v>
      </c>
      <c r="K10" s="88" t="s">
        <v>178</v>
      </c>
      <c r="L10" s="35"/>
      <c r="M10" s="42" t="s">
        <v>118</v>
      </c>
      <c r="O10" s="137" t="s">
        <v>11</v>
      </c>
      <c r="P10" s="138" t="s">
        <v>30</v>
      </c>
      <c r="Q10" s="137" t="s">
        <v>1</v>
      </c>
      <c r="R10" s="137" t="s">
        <v>2</v>
      </c>
      <c r="S10" s="137" t="s">
        <v>16</v>
      </c>
      <c r="T10" s="137" t="s">
        <v>17</v>
      </c>
      <c r="U10" s="137" t="s">
        <v>18</v>
      </c>
      <c r="V10" s="137" t="s">
        <v>19</v>
      </c>
      <c r="W10" s="137" t="s">
        <v>20</v>
      </c>
    </row>
    <row r="11" spans="2:23" ht="25" thickBot="1">
      <c r="B11" s="20" t="s">
        <v>39</v>
      </c>
      <c r="C11" s="20" t="s">
        <v>32</v>
      </c>
      <c r="D11" s="20" t="s">
        <v>33</v>
      </c>
      <c r="E11" s="20" t="s">
        <v>34</v>
      </c>
      <c r="F11" s="20" t="s">
        <v>90</v>
      </c>
      <c r="G11" s="102" t="s">
        <v>99</v>
      </c>
      <c r="H11" s="102" t="s">
        <v>148</v>
      </c>
      <c r="I11" s="20" t="s">
        <v>96</v>
      </c>
      <c r="J11" s="20" t="s">
        <v>177</v>
      </c>
      <c r="K11" s="20" t="s">
        <v>179</v>
      </c>
      <c r="L11" s="45"/>
      <c r="M11" s="133" t="s">
        <v>35</v>
      </c>
      <c r="O11" s="139" t="s">
        <v>38</v>
      </c>
      <c r="P11" s="139" t="s">
        <v>31</v>
      </c>
      <c r="Q11" s="139" t="s">
        <v>21</v>
      </c>
      <c r="R11" s="139" t="s">
        <v>22</v>
      </c>
      <c r="S11" s="139" t="s">
        <v>23</v>
      </c>
      <c r="T11" s="139" t="s">
        <v>24</v>
      </c>
      <c r="U11" s="139" t="s">
        <v>43</v>
      </c>
      <c r="V11" s="139" t="s">
        <v>42</v>
      </c>
      <c r="W11" s="139" t="s">
        <v>25</v>
      </c>
    </row>
    <row r="12" spans="2:23" ht="15" thickBot="1">
      <c r="B12" s="19" t="s">
        <v>91</v>
      </c>
      <c r="C12" s="19"/>
      <c r="D12" s="19"/>
      <c r="E12" s="17" t="str">
        <f>G2</f>
        <v>000_Units</v>
      </c>
      <c r="F12" s="17" t="s">
        <v>180</v>
      </c>
      <c r="G12" s="92" t="s">
        <v>151</v>
      </c>
      <c r="H12" s="90" t="s">
        <v>147</v>
      </c>
      <c r="I12" s="17" t="str">
        <f>$F$2&amp;"/"&amp;G2&amp;"a"</f>
        <v>M€2005/000_Unitsa</v>
      </c>
      <c r="J12" s="17" t="s">
        <v>92</v>
      </c>
      <c r="K12" s="17" t="s">
        <v>181</v>
      </c>
      <c r="L12" s="45"/>
      <c r="M12" s="134" t="s">
        <v>182</v>
      </c>
      <c r="O12" s="139" t="s">
        <v>81</v>
      </c>
      <c r="P12" s="139"/>
      <c r="Q12" s="139"/>
      <c r="R12" s="139"/>
      <c r="S12" s="139"/>
      <c r="T12" s="139"/>
      <c r="U12" s="139"/>
      <c r="V12" s="139"/>
      <c r="W12" s="139"/>
    </row>
    <row r="13" spans="2:23" ht="14">
      <c r="B13" t="str">
        <f t="shared" ref="B13:B24" si="0">Q13</f>
        <v>TCAREGAS</v>
      </c>
      <c r="C13" t="str">
        <f t="shared" ref="C13:C24" si="1">$B$2&amp;RIGHT(B13,3)</f>
        <v>TRAGAS</v>
      </c>
      <c r="D13" t="str">
        <f t="shared" ref="D13:D18" si="2">$Q$5</f>
        <v>DTCAR</v>
      </c>
      <c r="E13" s="76">
        <f>('EB1'!E$9*'EB1'!$E$25*F13/(K13*G13))*1.01</f>
        <v>233.01046285714281</v>
      </c>
      <c r="F13" s="58">
        <v>0.38</v>
      </c>
      <c r="G13" s="58">
        <v>14</v>
      </c>
      <c r="H13" s="80">
        <v>1.25</v>
      </c>
      <c r="I13" s="80">
        <v>0.16</v>
      </c>
      <c r="J13" s="58">
        <v>10</v>
      </c>
      <c r="K13" s="83">
        <v>1E-3</v>
      </c>
      <c r="M13" s="42">
        <f>E13*G13*K13*H13</f>
        <v>4.0776830999999989</v>
      </c>
      <c r="O13" s="144" t="s">
        <v>97</v>
      </c>
      <c r="P13" s="140"/>
      <c r="Q13" s="140" t="str">
        <f>LEFT($B$2)&amp;'EB1'!$C$25&amp;$H$2&amp;'EB1'!$E$2</f>
        <v>TCAREGAS</v>
      </c>
      <c r="R13" s="141" t="str">
        <f>$D$2&amp;" "&amp;$C$2&amp; " Sector - "&amp;""&amp;$H$1&amp;" "&amp;'EB1'!$X$25&amp;" - "&amp;'EB1'!$E$3</f>
        <v>Demand Technologies Transport Sector - Existing Cars - Natural Gas</v>
      </c>
      <c r="S13" s="150" t="s">
        <v>183</v>
      </c>
      <c r="T13" s="144" t="str">
        <f t="shared" ref="T13:T24" si="3">$G$2</f>
        <v>000_Units</v>
      </c>
      <c r="U13" s="140"/>
      <c r="V13" s="144" t="s">
        <v>145</v>
      </c>
      <c r="W13" s="140"/>
    </row>
    <row r="14" spans="2:23" ht="14">
      <c r="B14" t="str">
        <f t="shared" si="0"/>
        <v>TCAREDSL</v>
      </c>
      <c r="C14" t="str">
        <f t="shared" si="1"/>
        <v>TRADSL</v>
      </c>
      <c r="D14" t="str">
        <f t="shared" si="2"/>
        <v>DTCAR</v>
      </c>
      <c r="E14" s="76">
        <f>('EB1'!G$9*'EB1'!$G$25*F14/(K14*G14))*1.01</f>
        <v>87102.97230272727</v>
      </c>
      <c r="F14" s="80">
        <v>0.41</v>
      </c>
      <c r="G14" s="75">
        <v>16.5</v>
      </c>
      <c r="H14" s="80">
        <v>1.25</v>
      </c>
      <c r="I14" s="80">
        <v>0.16</v>
      </c>
      <c r="J14" s="58">
        <v>10</v>
      </c>
      <c r="K14" s="83">
        <v>1E-3</v>
      </c>
      <c r="M14" s="42">
        <f t="shared" ref="M14:M22" si="4">E14*G14*K14*H14</f>
        <v>1796.4988037437502</v>
      </c>
      <c r="O14" s="140"/>
      <c r="P14" s="140"/>
      <c r="Q14" s="140" t="str">
        <f>LEFT($B$2)&amp;'EB1'!$C$25&amp;$H$2&amp;'EB1'!$G$2</f>
        <v>TCAREDSL</v>
      </c>
      <c r="R14" s="141" t="str">
        <f>$D$2&amp;" "&amp;$C$2&amp; " Sector - "&amp;""&amp;$H$1&amp;" "&amp;'EB1'!$X$25&amp;" - "&amp;'EB1'!$G$3</f>
        <v>Demand Technologies Transport Sector - Existing Cars - Diesel oil</v>
      </c>
      <c r="S14" s="149" t="s">
        <v>183</v>
      </c>
      <c r="T14" s="144" t="str">
        <f t="shared" si="3"/>
        <v>000_Units</v>
      </c>
      <c r="U14" s="140"/>
      <c r="V14" s="144" t="s">
        <v>145</v>
      </c>
      <c r="W14" s="140"/>
    </row>
    <row r="15" spans="2:23" ht="14">
      <c r="B15" t="str">
        <f t="shared" si="0"/>
        <v>TCARELPG</v>
      </c>
      <c r="C15" t="str">
        <f t="shared" si="1"/>
        <v>TRALPG</v>
      </c>
      <c r="D15" t="str">
        <f t="shared" si="2"/>
        <v>DTCAR</v>
      </c>
      <c r="E15" s="76">
        <f>('EB1'!I$9*'EB1'!$I$25*F15/(K15*G15))*1.01</f>
        <v>2583.2755571428575</v>
      </c>
      <c r="F15" s="80">
        <v>0.38</v>
      </c>
      <c r="G15" s="75">
        <v>14</v>
      </c>
      <c r="H15" s="80">
        <v>1.25</v>
      </c>
      <c r="I15" s="84">
        <v>0.16</v>
      </c>
      <c r="J15" s="58">
        <v>10</v>
      </c>
      <c r="K15" s="83">
        <v>1E-3</v>
      </c>
      <c r="M15" s="42">
        <f t="shared" si="4"/>
        <v>45.207322250000004</v>
      </c>
      <c r="O15" s="140"/>
      <c r="P15" s="140"/>
      <c r="Q15" s="140" t="str">
        <f>LEFT($B$2)&amp;'EB1'!$C$25&amp;$H$2&amp;'EB1'!$I$2</f>
        <v>TCARELPG</v>
      </c>
      <c r="R15" s="141" t="str">
        <f>$D$2&amp;" "&amp;$C$2&amp; " Sector - "&amp;""&amp;$H$1&amp;" "&amp;'EB1'!$X$25&amp;" - "&amp;'EB1'!$I$3</f>
        <v>Demand Technologies Transport Sector - Existing Cars - LPG</v>
      </c>
      <c r="S15" s="149" t="s">
        <v>183</v>
      </c>
      <c r="T15" s="144" t="str">
        <f t="shared" si="3"/>
        <v>000_Units</v>
      </c>
      <c r="U15" s="140"/>
      <c r="V15" s="144" t="s">
        <v>145</v>
      </c>
      <c r="W15" s="140"/>
    </row>
    <row r="16" spans="2:23">
      <c r="B16" t="str">
        <f t="shared" si="0"/>
        <v>TCAREGSL</v>
      </c>
      <c r="C16" t="str">
        <f t="shared" si="1"/>
        <v>TRAGSL</v>
      </c>
      <c r="D16" t="str">
        <f t="shared" si="2"/>
        <v>DTCAR</v>
      </c>
      <c r="E16" s="76">
        <f>('EB1'!J$9*'EB1'!$J$25*F16/(K16*G16))*1.01</f>
        <v>84109.849043478273</v>
      </c>
      <c r="F16" s="81">
        <v>0.4</v>
      </c>
      <c r="G16" s="82">
        <v>11.5</v>
      </c>
      <c r="H16" s="80">
        <v>1.25</v>
      </c>
      <c r="I16" s="80">
        <v>0.15</v>
      </c>
      <c r="J16" s="58">
        <v>10</v>
      </c>
      <c r="K16" s="83">
        <v>1E-3</v>
      </c>
      <c r="M16" s="42">
        <f t="shared" si="4"/>
        <v>1209.07908</v>
      </c>
      <c r="O16" s="140"/>
      <c r="P16" s="140"/>
      <c r="Q16" s="140" t="str">
        <f>LEFT($B$2)&amp;'EB1'!$C$25&amp;$H$2&amp;'EB1'!$J$2</f>
        <v>TCAREGSL</v>
      </c>
      <c r="R16" s="145" t="str">
        <f>$D$2&amp;" "&amp;$C$2&amp; " Sector - "&amp;""&amp;$H$1&amp;" "&amp;'EB1'!$X$25&amp;" - "&amp;'EB1'!$J$3</f>
        <v>Demand Technologies Transport Sector - Existing Cars - Motor spirit</v>
      </c>
      <c r="S16" s="149" t="s">
        <v>183</v>
      </c>
      <c r="T16" s="144" t="str">
        <f t="shared" si="3"/>
        <v>000_Units</v>
      </c>
      <c r="U16" s="140"/>
      <c r="V16" s="144" t="s">
        <v>145</v>
      </c>
      <c r="W16" s="140"/>
    </row>
    <row r="17" spans="1:23">
      <c r="B17" t="str">
        <f>Q17</f>
        <v>TCAREBIO</v>
      </c>
      <c r="C17" t="str">
        <f>$B$2&amp;RIGHT(B17,3)</f>
        <v>TRABIO</v>
      </c>
      <c r="D17" t="str">
        <f t="shared" si="2"/>
        <v>DTCAR</v>
      </c>
      <c r="E17" s="76">
        <f>('EB1'!O$9*'EB1'!$O$25*F17/(K17*G17))*1.01</f>
        <v>3181.5</v>
      </c>
      <c r="F17" s="81">
        <v>0.4</v>
      </c>
      <c r="G17" s="82">
        <v>11.5</v>
      </c>
      <c r="H17" s="80">
        <v>1.25</v>
      </c>
      <c r="I17" s="80">
        <v>0.15</v>
      </c>
      <c r="J17" s="58">
        <v>10</v>
      </c>
      <c r="K17" s="83">
        <v>1E-3</v>
      </c>
      <c r="M17" s="42">
        <f>E17*G17*K17*H17</f>
        <v>45.734062499999993</v>
      </c>
      <c r="O17" s="140"/>
      <c r="P17" s="140"/>
      <c r="Q17" s="140" t="str">
        <f>LEFT($B$2)&amp;'EB1'!$C$25&amp;$H$2&amp;'EB1'!$O$2</f>
        <v>TCAREBIO</v>
      </c>
      <c r="R17" s="145" t="str">
        <f>$D$2&amp;" "&amp;$C$2&amp; " Sector - "&amp;""&amp;$H$1&amp;" "&amp;'EB1'!$X$25&amp;" - "&amp;'EB1'!O3</f>
        <v>Demand Technologies Transport Sector - Existing Cars - Biofuels</v>
      </c>
      <c r="S17" s="149" t="s">
        <v>183</v>
      </c>
      <c r="T17" s="144" t="str">
        <f t="shared" si="3"/>
        <v>000_Units</v>
      </c>
      <c r="U17" s="140"/>
      <c r="V17" s="144" t="s">
        <v>145</v>
      </c>
      <c r="W17" s="140"/>
    </row>
    <row r="18" spans="1:23">
      <c r="B18" s="27" t="str">
        <f t="shared" si="0"/>
        <v>TCAREELC</v>
      </c>
      <c r="C18" s="27" t="str">
        <f t="shared" si="1"/>
        <v>TRAELC</v>
      </c>
      <c r="D18" s="27" t="str">
        <f t="shared" si="2"/>
        <v>DTCAR</v>
      </c>
      <c r="E18" s="94">
        <f>('EB1'!U$9*'EB1'!$U$25*F18/(K18*G18))*1.01</f>
        <v>0</v>
      </c>
      <c r="F18" s="115">
        <v>0.4</v>
      </c>
      <c r="G18" s="116">
        <v>11.5</v>
      </c>
      <c r="H18" s="117">
        <v>1.25</v>
      </c>
      <c r="I18" s="117">
        <v>0.15</v>
      </c>
      <c r="J18" s="118">
        <v>10</v>
      </c>
      <c r="K18" s="119">
        <v>1E-3</v>
      </c>
      <c r="L18" s="120"/>
      <c r="M18" s="121">
        <f t="shared" si="4"/>
        <v>0</v>
      </c>
      <c r="O18" s="146"/>
      <c r="P18" s="146"/>
      <c r="Q18" s="146" t="str">
        <f>LEFT($B$2)&amp;'EB1'!$C$25&amp;$H$2&amp;'EB1'!$U$2</f>
        <v>TCAREELC</v>
      </c>
      <c r="R18" s="147" t="str">
        <f>$D$2&amp;" "&amp;$C$2&amp; " Sector - "&amp;""&amp;$H$1&amp;" "&amp;'EB1'!$X$25&amp;" - "&amp;'EB1'!$U$3</f>
        <v>Demand Technologies Transport Sector - Existing Cars - Electricity</v>
      </c>
      <c r="S18" s="148" t="s">
        <v>183</v>
      </c>
      <c r="T18" s="148" t="str">
        <f t="shared" si="3"/>
        <v>000_Units</v>
      </c>
      <c r="U18" s="146"/>
      <c r="V18" s="148" t="s">
        <v>145</v>
      </c>
      <c r="W18" s="146"/>
    </row>
    <row r="19" spans="1:23" ht="14">
      <c r="B19" t="str">
        <f t="shared" si="0"/>
        <v>TPUBEGAS</v>
      </c>
      <c r="C19" t="str">
        <f t="shared" si="1"/>
        <v>TRAGAS</v>
      </c>
      <c r="D19" t="str">
        <f t="shared" ref="D19:D24" si="5">$Q$6</f>
        <v>DTPUB</v>
      </c>
      <c r="E19" s="76">
        <f>('EB1'!E$9*'EB1'!$E$26*F19/(K19*G19))*1.01</f>
        <v>0</v>
      </c>
      <c r="F19" s="80">
        <v>0.1</v>
      </c>
      <c r="G19" s="58">
        <v>50</v>
      </c>
      <c r="H19" s="80">
        <v>15</v>
      </c>
      <c r="I19" s="125">
        <v>0.24</v>
      </c>
      <c r="J19" s="58">
        <v>30</v>
      </c>
      <c r="K19" s="83">
        <v>1E-3</v>
      </c>
      <c r="M19" s="42">
        <f>E19*G19*K19*H19</f>
        <v>0</v>
      </c>
      <c r="O19" s="140"/>
      <c r="P19" s="140"/>
      <c r="Q19" s="140" t="str">
        <f>LEFT($B$2)&amp;'EB1'!$C$26&amp;$H$2&amp;'EB1'!$E$2</f>
        <v>TPUBEGAS</v>
      </c>
      <c r="R19" s="141" t="str">
        <f>$D$2&amp;" "&amp;$C$2&amp; " Sector - "&amp;""&amp;$H$1&amp;" "&amp;'EB1'!$X$26&amp;" - "&amp;'EB1'!$E$3</f>
        <v>Demand Technologies Transport Sector - Existing Pub - Natural Gas</v>
      </c>
      <c r="S19" s="149" t="s">
        <v>183</v>
      </c>
      <c r="T19" s="144" t="str">
        <f t="shared" si="3"/>
        <v>000_Units</v>
      </c>
      <c r="U19" s="140"/>
      <c r="V19" s="144" t="s">
        <v>145</v>
      </c>
      <c r="W19" s="140"/>
    </row>
    <row r="20" spans="1:23" ht="14">
      <c r="B20" t="str">
        <f t="shared" si="0"/>
        <v>TPUBEDSL</v>
      </c>
      <c r="C20" t="str">
        <f t="shared" si="1"/>
        <v>TRADSL</v>
      </c>
      <c r="D20" t="str">
        <f t="shared" si="5"/>
        <v>DTPUB</v>
      </c>
      <c r="E20" s="76">
        <f>('EB1'!G$9*'EB1'!$G$26*F20/(K20*G20))*1.01</f>
        <v>1168.4545064999998</v>
      </c>
      <c r="F20" s="80">
        <v>0.15</v>
      </c>
      <c r="G20" s="75">
        <v>50</v>
      </c>
      <c r="H20" s="80">
        <v>15</v>
      </c>
      <c r="I20" s="126">
        <v>0.24</v>
      </c>
      <c r="J20" s="58">
        <v>30</v>
      </c>
      <c r="K20" s="83">
        <v>1E-3</v>
      </c>
      <c r="M20" s="42">
        <f>E20*G20*K20*H20</f>
        <v>876.34087987499981</v>
      </c>
      <c r="O20" s="140"/>
      <c r="P20" s="140"/>
      <c r="Q20" s="140" t="str">
        <f>LEFT($B$2)&amp;'EB1'!$C$26&amp;$H$2&amp;'EB1'!$G$2</f>
        <v>TPUBEDSL</v>
      </c>
      <c r="R20" s="141" t="str">
        <f>$D$2&amp;" "&amp;$C$2&amp; " Sector - "&amp;""&amp;$H$1&amp;" "&amp;'EB1'!$X$26&amp;" - "&amp;'EB1'!$G$3</f>
        <v>Demand Technologies Transport Sector - Existing Pub - Diesel oil</v>
      </c>
      <c r="S20" s="149" t="s">
        <v>183</v>
      </c>
      <c r="T20" s="144" t="str">
        <f t="shared" si="3"/>
        <v>000_Units</v>
      </c>
      <c r="U20" s="140"/>
      <c r="V20" s="144" t="s">
        <v>145</v>
      </c>
      <c r="W20" s="140"/>
    </row>
    <row r="21" spans="1:23" ht="14">
      <c r="B21" t="str">
        <f t="shared" si="0"/>
        <v>TPUBELPG</v>
      </c>
      <c r="C21" t="str">
        <f t="shared" si="1"/>
        <v>TRALPG</v>
      </c>
      <c r="D21" t="str">
        <f t="shared" si="5"/>
        <v>DTPUB</v>
      </c>
      <c r="E21" s="76">
        <f>('EB1'!I$9*'EB1'!$I$26*F21/(K21*G21))*1.01</f>
        <v>0</v>
      </c>
      <c r="F21" s="80">
        <v>0.1</v>
      </c>
      <c r="G21" s="75">
        <v>50</v>
      </c>
      <c r="H21" s="80">
        <v>15</v>
      </c>
      <c r="I21" s="126">
        <v>0.24</v>
      </c>
      <c r="J21" s="58">
        <v>30</v>
      </c>
      <c r="K21" s="83">
        <v>1E-3</v>
      </c>
      <c r="M21" s="42">
        <f>E21*G21*K21*H21</f>
        <v>0</v>
      </c>
      <c r="O21" s="140"/>
      <c r="P21" s="140"/>
      <c r="Q21" s="140" t="str">
        <f>LEFT($B$2)&amp;'EB1'!$C$26&amp;$H$2&amp;'EB1'!$I$2</f>
        <v>TPUBELPG</v>
      </c>
      <c r="R21" s="141" t="str">
        <f>$D$2&amp;" "&amp;$C$2&amp; " Sector - "&amp;""&amp;$H$1&amp;" "&amp;'EB1'!$X$26&amp;" - "&amp;'EB1'!$I$3</f>
        <v>Demand Technologies Transport Sector - Existing Pub - LPG</v>
      </c>
      <c r="S21" s="149" t="s">
        <v>183</v>
      </c>
      <c r="T21" s="144" t="str">
        <f t="shared" si="3"/>
        <v>000_Units</v>
      </c>
      <c r="U21" s="140"/>
      <c r="V21" s="144" t="s">
        <v>145</v>
      </c>
      <c r="W21" s="140"/>
    </row>
    <row r="22" spans="1:23">
      <c r="B22" t="str">
        <f t="shared" si="0"/>
        <v>TPUBEGSL</v>
      </c>
      <c r="C22" t="str">
        <f t="shared" si="1"/>
        <v>TRAGSL</v>
      </c>
      <c r="D22" t="str">
        <f t="shared" si="5"/>
        <v>DTPUB</v>
      </c>
      <c r="E22" s="76">
        <f>('EB1'!J$9*'EB1'!$J$26*F22/(K22*G22))*1.01</f>
        <v>0</v>
      </c>
      <c r="F22" s="81">
        <v>0.15</v>
      </c>
      <c r="G22" s="82">
        <v>20</v>
      </c>
      <c r="H22" s="80">
        <v>15</v>
      </c>
      <c r="I22" s="126">
        <v>0.22499999999999998</v>
      </c>
      <c r="J22" s="58">
        <v>30</v>
      </c>
      <c r="K22" s="83">
        <v>1E-3</v>
      </c>
      <c r="M22" s="42">
        <f t="shared" si="4"/>
        <v>0</v>
      </c>
      <c r="O22" s="140"/>
      <c r="P22" s="140"/>
      <c r="Q22" s="140" t="str">
        <f>LEFT($B$2)&amp;'EB1'!$C$26&amp;$H$2&amp;'EB1'!$J$2</f>
        <v>TPUBEGSL</v>
      </c>
      <c r="R22" s="145" t="str">
        <f>$D$2&amp;" "&amp;$C$2&amp; " Sector - "&amp;""&amp;$H$1&amp;" "&amp;'EB1'!$X$26&amp;" - "&amp;'EB1'!$J$3</f>
        <v>Demand Technologies Transport Sector - Existing Pub - Motor spirit</v>
      </c>
      <c r="S22" s="149" t="s">
        <v>183</v>
      </c>
      <c r="T22" s="144" t="str">
        <f t="shared" si="3"/>
        <v>000_Units</v>
      </c>
      <c r="U22" s="140"/>
      <c r="V22" s="144" t="s">
        <v>145</v>
      </c>
      <c r="W22" s="140"/>
    </row>
    <row r="23" spans="1:23">
      <c r="B23" t="str">
        <f>Q23</f>
        <v>TPUBEBIO</v>
      </c>
      <c r="C23" t="str">
        <f>$B$2&amp;RIGHT(B23,3)</f>
        <v>TRABIO</v>
      </c>
      <c r="D23" t="str">
        <f t="shared" si="5"/>
        <v>DTPUB</v>
      </c>
      <c r="E23" s="76">
        <f>('EB1'!O$9*'EB1'!$O$26*F23/(K23*G23))*1.01</f>
        <v>228.67031249999999</v>
      </c>
      <c r="F23" s="81">
        <v>0.15</v>
      </c>
      <c r="G23" s="82">
        <v>20</v>
      </c>
      <c r="H23" s="80">
        <v>15</v>
      </c>
      <c r="I23" s="126">
        <v>0.22499999999999998</v>
      </c>
      <c r="J23" s="58">
        <v>30</v>
      </c>
      <c r="K23" s="83">
        <v>1E-3</v>
      </c>
      <c r="M23" s="42">
        <f>E23*G23*K23*H23</f>
        <v>68.60109374999999</v>
      </c>
      <c r="O23" s="140"/>
      <c r="P23" s="140"/>
      <c r="Q23" s="140" t="str">
        <f>LEFT($B$2)&amp;'EB1'!$C$26&amp;$H$2&amp;'EB1'!$O$2</f>
        <v>TPUBEBIO</v>
      </c>
      <c r="R23" s="145" t="str">
        <f>$D$2&amp;" "&amp;$C$2&amp; " Sector - "&amp;""&amp;$H$1&amp;" "&amp;'EB1'!$X$26&amp;" - "&amp;'EB1'!O3</f>
        <v>Demand Technologies Transport Sector - Existing Pub - Biofuels</v>
      </c>
      <c r="S23" s="149" t="s">
        <v>183</v>
      </c>
      <c r="T23" s="144" t="str">
        <f t="shared" si="3"/>
        <v>000_Units</v>
      </c>
      <c r="U23" s="140"/>
      <c r="V23" s="144" t="s">
        <v>145</v>
      </c>
      <c r="W23" s="140"/>
    </row>
    <row r="24" spans="1:23">
      <c r="B24" s="27" t="str">
        <f t="shared" si="0"/>
        <v>TPUBEELC</v>
      </c>
      <c r="C24" s="27" t="str">
        <f t="shared" si="1"/>
        <v>TRAELC</v>
      </c>
      <c r="D24" s="27" t="str">
        <f t="shared" si="5"/>
        <v>DTPUB</v>
      </c>
      <c r="E24" s="94">
        <f>('EB1'!U$9*'EB1'!$U$26*F24/(K24*G24))*1.01</f>
        <v>40.294757999999995</v>
      </c>
      <c r="F24" s="115">
        <v>0.03</v>
      </c>
      <c r="G24" s="116">
        <v>100</v>
      </c>
      <c r="H24" s="117">
        <v>200</v>
      </c>
      <c r="I24" s="117">
        <v>0.22499999999999998</v>
      </c>
      <c r="J24" s="118">
        <v>30</v>
      </c>
      <c r="K24" s="119">
        <v>1E-3</v>
      </c>
      <c r="M24" s="121">
        <f>E24*G24*K24*H24</f>
        <v>805.89515999999981</v>
      </c>
      <c r="O24" s="146"/>
      <c r="P24" s="146"/>
      <c r="Q24" s="146" t="str">
        <f>LEFT($B$2)&amp;'EB1'!$C$26&amp;$H$2&amp;'EB1'!$U$2</f>
        <v>TPUBEELC</v>
      </c>
      <c r="R24" s="147" t="str">
        <f>$D$2&amp;" "&amp;$C$2&amp; " Sector - "&amp;""&amp;$H$1&amp;" "&amp;'EB1'!$X$26&amp;" - "&amp;'EB1'!$U$3</f>
        <v>Demand Technologies Transport Sector - Existing Pub - Electricity</v>
      </c>
      <c r="S24" s="148" t="s">
        <v>183</v>
      </c>
      <c r="T24" s="148" t="str">
        <f t="shared" si="3"/>
        <v>000_Units</v>
      </c>
      <c r="U24" s="146"/>
      <c r="V24" s="148" t="s">
        <v>145</v>
      </c>
      <c r="W24" s="146"/>
    </row>
    <row r="25" spans="1:23">
      <c r="O25" s="6"/>
      <c r="P25" s="6"/>
      <c r="Q25" s="6"/>
      <c r="R25" s="6"/>
      <c r="S25" s="6"/>
      <c r="T25" s="6"/>
      <c r="U25" s="6"/>
      <c r="V25" s="6"/>
      <c r="W25" s="6"/>
    </row>
    <row r="27" spans="1:23">
      <c r="B27" s="58"/>
      <c r="C27" s="1" t="s">
        <v>159</v>
      </c>
      <c r="K27" s="1"/>
      <c r="L27" s="11"/>
      <c r="M27" s="1"/>
    </row>
    <row r="28" spans="1:23">
      <c r="B28" s="77"/>
      <c r="C28" s="1" t="s">
        <v>160</v>
      </c>
      <c r="K28" s="1"/>
      <c r="L28" s="11"/>
      <c r="M28" s="1"/>
      <c r="N28" s="1"/>
    </row>
    <row r="29" spans="1:23">
      <c r="A29" s="8"/>
      <c r="K29" s="1"/>
      <c r="L29" s="11"/>
      <c r="M29" s="1"/>
      <c r="N29" s="1"/>
    </row>
    <row r="30" spans="1:23" s="8" customFormat="1">
      <c r="A30"/>
      <c r="B30"/>
      <c r="C30"/>
      <c r="D30"/>
      <c r="E30"/>
      <c r="F30"/>
      <c r="G30"/>
      <c r="H30"/>
      <c r="I30"/>
      <c r="J30"/>
      <c r="K30" s="1"/>
      <c r="L30" s="11"/>
      <c r="M30" s="1"/>
      <c r="N30" s="1"/>
      <c r="O30"/>
      <c r="P30"/>
      <c r="Q30"/>
      <c r="R30"/>
      <c r="S30"/>
      <c r="T30"/>
      <c r="U30"/>
      <c r="V30"/>
      <c r="W30"/>
    </row>
    <row r="31" spans="1:23">
      <c r="E31" s="1"/>
      <c r="N31" s="1"/>
    </row>
    <row r="32" spans="1:23">
      <c r="E32" s="1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4"/>
  <sheetViews>
    <sheetView tabSelected="1" workbookViewId="0">
      <selection activeCell="D10" sqref="D10"/>
    </sheetView>
  </sheetViews>
  <sheetFormatPr baseColWidth="10" defaultRowHeight="13"/>
  <cols>
    <col min="1" max="1" width="2" bestFit="1" customWidth="1"/>
    <col min="2" max="2" width="12.5" customWidth="1"/>
    <col min="3" max="3" width="13.1640625" customWidth="1"/>
    <col min="4" max="4" width="11.5" customWidth="1"/>
    <col min="5" max="5" width="11.33203125" customWidth="1"/>
    <col min="6" max="6" width="2" bestFit="1" customWidth="1"/>
    <col min="7" max="7" width="13.1640625" bestFit="1" customWidth="1"/>
    <col min="8" max="8" width="13.5" customWidth="1"/>
    <col min="9" max="9" width="5" bestFit="1" customWidth="1"/>
    <col min="10" max="256" width="8.83203125" customWidth="1"/>
  </cols>
  <sheetData>
    <row r="1" spans="2:10" ht="15">
      <c r="B1" s="12" t="s">
        <v>73</v>
      </c>
      <c r="C1" s="12" t="s">
        <v>74</v>
      </c>
      <c r="D1" s="12" t="s">
        <v>75</v>
      </c>
      <c r="E1" s="12" t="s">
        <v>77</v>
      </c>
      <c r="G1" s="12" t="s">
        <v>78</v>
      </c>
    </row>
    <row r="2" spans="2:10" ht="16">
      <c r="B2" s="14" t="s">
        <v>83</v>
      </c>
      <c r="C2" s="14"/>
      <c r="D2" s="14"/>
      <c r="E2" s="14" t="str">
        <f>DemTechs_TRA!S5</f>
        <v>BPkm</v>
      </c>
      <c r="G2" s="14" t="str">
        <f>'EB1'!Y2</f>
        <v>M€2005</v>
      </c>
    </row>
    <row r="5" spans="2:10">
      <c r="C5" s="3" t="s">
        <v>13</v>
      </c>
      <c r="D5" s="3"/>
      <c r="E5" s="1"/>
      <c r="I5" s="3" t="s">
        <v>13</v>
      </c>
      <c r="J5" s="1"/>
    </row>
    <row r="6" spans="2:10">
      <c r="B6" s="2" t="s">
        <v>80</v>
      </c>
      <c r="C6" s="2" t="s">
        <v>0</v>
      </c>
      <c r="D6" s="2" t="s">
        <v>152</v>
      </c>
      <c r="E6" s="93">
        <v>2005</v>
      </c>
      <c r="G6" s="2" t="s">
        <v>80</v>
      </c>
      <c r="H6" s="2" t="s">
        <v>0</v>
      </c>
      <c r="I6" s="2" t="s">
        <v>119</v>
      </c>
      <c r="J6" s="2">
        <v>2005</v>
      </c>
    </row>
    <row r="7" spans="2:10" ht="24">
      <c r="B7" s="20" t="s">
        <v>81</v>
      </c>
      <c r="C7" s="20" t="s">
        <v>82</v>
      </c>
      <c r="D7" s="20" t="s">
        <v>153</v>
      </c>
      <c r="E7" s="89" t="s">
        <v>36</v>
      </c>
      <c r="G7" s="20" t="s">
        <v>81</v>
      </c>
      <c r="H7" s="20" t="s">
        <v>82</v>
      </c>
      <c r="I7" s="20"/>
      <c r="J7" s="20"/>
    </row>
    <row r="8" spans="2:10" ht="14" thickBot="1">
      <c r="B8" s="19" t="s">
        <v>91</v>
      </c>
      <c r="C8" s="19"/>
      <c r="D8" s="19"/>
      <c r="E8" s="17" t="str">
        <f>E2</f>
        <v>BPkm</v>
      </c>
      <c r="G8" s="19" t="s">
        <v>91</v>
      </c>
      <c r="H8" s="19"/>
      <c r="I8" s="19"/>
      <c r="J8" s="19"/>
    </row>
    <row r="9" spans="2:10">
      <c r="B9" s="8" t="s">
        <v>35</v>
      </c>
      <c r="C9" s="8" t="str">
        <f>DemTechs_TRA!$Q$5</f>
        <v>DTCAR</v>
      </c>
      <c r="D9" s="25" t="s">
        <v>184</v>
      </c>
      <c r="E9" s="82">
        <f>SUM(DemTechs_TRA!M13:M18)</f>
        <v>3100.5969515937504</v>
      </c>
      <c r="G9" s="1" t="s">
        <v>120</v>
      </c>
      <c r="H9" s="8" t="str">
        <f>DemTechs_TRA!$Q$5</f>
        <v>DTCAR</v>
      </c>
      <c r="I9" s="39" t="s">
        <v>121</v>
      </c>
      <c r="J9" s="58">
        <v>0.25</v>
      </c>
    </row>
    <row r="10" spans="2:10">
      <c r="B10" s="8" t="s">
        <v>35</v>
      </c>
      <c r="C10" s="8" t="str">
        <f>DemTechs_TRA!$Q$6</f>
        <v>DTPUB</v>
      </c>
      <c r="D10" s="25" t="s">
        <v>184</v>
      </c>
      <c r="E10" s="82">
        <f>SUM(DemTechs_TRA!M19:M24)</f>
        <v>1750.8371336249998</v>
      </c>
      <c r="G10" s="1" t="s">
        <v>120</v>
      </c>
      <c r="H10" s="8" t="str">
        <f>DemTechs_TRA!$Q$5</f>
        <v>DTCAR</v>
      </c>
      <c r="I10" s="39" t="s">
        <v>122</v>
      </c>
      <c r="J10" s="58">
        <v>0.25</v>
      </c>
    </row>
    <row r="11" spans="2:10">
      <c r="G11" s="1" t="s">
        <v>120</v>
      </c>
      <c r="H11" s="8" t="str">
        <f>DemTechs_TRA!$Q$5</f>
        <v>DTCAR</v>
      </c>
      <c r="I11" s="39" t="s">
        <v>123</v>
      </c>
      <c r="J11" s="58">
        <v>0.25</v>
      </c>
    </row>
    <row r="12" spans="2:10">
      <c r="E12" s="36"/>
      <c r="G12" s="40" t="s">
        <v>120</v>
      </c>
      <c r="H12" s="27" t="str">
        <f>DemTechs_TRA!$Q$5</f>
        <v>DTCAR</v>
      </c>
      <c r="I12" s="41" t="s">
        <v>124</v>
      </c>
      <c r="J12" s="118">
        <v>0.25</v>
      </c>
    </row>
    <row r="13" spans="2:10">
      <c r="E13" s="10"/>
      <c r="G13" s="1" t="s">
        <v>120</v>
      </c>
      <c r="H13" s="8" t="str">
        <f>DemTechs_TRA!$Q$6</f>
        <v>DTPUB</v>
      </c>
      <c r="I13" s="39" t="s">
        <v>121</v>
      </c>
      <c r="J13" s="58">
        <v>0.25</v>
      </c>
    </row>
    <row r="14" spans="2:10">
      <c r="G14" s="1" t="s">
        <v>120</v>
      </c>
      <c r="H14" s="8" t="str">
        <f>DemTechs_TRA!$Q$6</f>
        <v>DTPUB</v>
      </c>
      <c r="I14" s="39" t="s">
        <v>122</v>
      </c>
      <c r="J14" s="58">
        <v>0.25</v>
      </c>
    </row>
    <row r="15" spans="2:10">
      <c r="E15" s="10"/>
      <c r="G15" s="1" t="s">
        <v>120</v>
      </c>
      <c r="H15" s="8" t="str">
        <f>DemTechs_TRA!$Q$6</f>
        <v>DTPUB</v>
      </c>
      <c r="I15" s="39" t="s">
        <v>123</v>
      </c>
      <c r="J15" s="58">
        <v>0.25</v>
      </c>
    </row>
    <row r="16" spans="2:10">
      <c r="G16" s="1" t="s">
        <v>120</v>
      </c>
      <c r="H16" s="8" t="str">
        <f>DemTechs_TRA!$Q$6</f>
        <v>DTPUB</v>
      </c>
      <c r="I16" s="122" t="s">
        <v>124</v>
      </c>
      <c r="J16" s="58">
        <v>0.25</v>
      </c>
    </row>
    <row r="23" spans="2:3">
      <c r="B23" s="58"/>
      <c r="C23" s="1" t="s">
        <v>159</v>
      </c>
    </row>
    <row r="24" spans="2:3">
      <c r="B24" s="77"/>
      <c r="C24" s="1" t="s">
        <v>160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I24"/>
  <sheetViews>
    <sheetView workbookViewId="0">
      <selection activeCell="B8" sqref="B8"/>
    </sheetView>
  </sheetViews>
  <sheetFormatPr baseColWidth="10" defaultRowHeight="13"/>
  <cols>
    <col min="1" max="1" width="8.83203125" customWidth="1"/>
    <col min="2" max="2" width="14.5" customWidth="1"/>
    <col min="3" max="256" width="8.83203125" customWidth="1"/>
  </cols>
  <sheetData>
    <row r="3" spans="2:9" ht="17.5" customHeight="1">
      <c r="B3" s="48" t="s">
        <v>149</v>
      </c>
      <c r="C3" s="48"/>
      <c r="D3" s="48"/>
      <c r="E3" s="48"/>
      <c r="F3" s="48"/>
      <c r="G3" s="48"/>
      <c r="H3" s="48"/>
    </row>
    <row r="4" spans="2:9" s="6" customFormat="1" ht="17.5" customHeight="1">
      <c r="B4" s="49"/>
      <c r="C4" s="49"/>
      <c r="D4" s="49"/>
      <c r="E4" s="49"/>
      <c r="F4" s="49"/>
      <c r="G4" s="49"/>
    </row>
    <row r="5" spans="2:9" ht="18">
      <c r="B5" s="46" t="s">
        <v>150</v>
      </c>
      <c r="C5" s="47"/>
      <c r="G5" s="38"/>
      <c r="H5" s="38"/>
    </row>
    <row r="6" spans="2:9" ht="14" thickBot="1">
      <c r="B6" s="51" t="s">
        <v>0</v>
      </c>
      <c r="C6" s="51" t="str">
        <f>Sector_Fuels_TRA!L5</f>
        <v>TRAGAS</v>
      </c>
      <c r="D6" s="51" t="str">
        <f>Sector_Fuels_TRA!L6</f>
        <v>TRADSL</v>
      </c>
      <c r="E6" s="51" t="str">
        <f>Sector_Fuels_TRA!L7</f>
        <v>TRALPG</v>
      </c>
      <c r="F6" s="51" t="str">
        <f>Sector_Fuels_TRA!L8</f>
        <v>TRAGSL</v>
      </c>
      <c r="G6" s="50"/>
      <c r="H6" s="50"/>
      <c r="I6" s="1"/>
    </row>
    <row r="7" spans="2:9" ht="14" thickBot="1">
      <c r="B7" s="19" t="s">
        <v>91</v>
      </c>
      <c r="C7" s="19" t="s">
        <v>158</v>
      </c>
      <c r="D7" s="19" t="s">
        <v>158</v>
      </c>
      <c r="E7" s="19" t="s">
        <v>158</v>
      </c>
      <c r="F7" s="19" t="s">
        <v>158</v>
      </c>
      <c r="G7" s="123"/>
      <c r="H7" s="123"/>
      <c r="I7" s="1"/>
    </row>
    <row r="8" spans="2:9">
      <c r="B8" s="50" t="str">
        <f>DemTechs_TRA!Q7</f>
        <v>TRACO2</v>
      </c>
      <c r="C8" s="80">
        <v>56.1</v>
      </c>
      <c r="D8" s="80">
        <v>75</v>
      </c>
      <c r="E8" s="80">
        <v>64</v>
      </c>
      <c r="F8" s="80">
        <v>73</v>
      </c>
      <c r="G8" s="124"/>
      <c r="H8" s="124"/>
      <c r="I8" s="1"/>
    </row>
    <row r="9" spans="2:9">
      <c r="G9" s="38"/>
      <c r="H9" s="38"/>
    </row>
    <row r="10" spans="2:9">
      <c r="G10" s="38"/>
      <c r="H10" s="38"/>
    </row>
    <row r="23" spans="2:3">
      <c r="B23" s="58"/>
      <c r="C23" s="1" t="s">
        <v>159</v>
      </c>
    </row>
    <row r="24" spans="2:3">
      <c r="B24" s="77"/>
      <c r="C24" s="1" t="s">
        <v>160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EB1</vt:lpstr>
      <vt:lpstr>RES_TRA</vt:lpstr>
      <vt:lpstr>Sector_Fuels_TRA</vt:lpstr>
      <vt:lpstr>DemTechs_TRA</vt:lpstr>
      <vt:lpstr>Demands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2020-07-06T10:10:06Z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29033839702606</vt:r8>
  </property>
</Properties>
</file>