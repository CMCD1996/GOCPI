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"/>
    </mc:Choice>
  </mc:AlternateContent>
  <xr:revisionPtr revIDLastSave="0" documentId="8_{BA95B307-2989-A04B-9912-FEF8121FBC1C}" xr6:coauthVersionLast="45" xr6:coauthVersionMax="45" xr10:uidLastSave="{00000000-0000-0000-0000-000000000000}"/>
  <bookViews>
    <workbookView xWindow="120" yWindow="460" windowWidth="28560" windowHeight="14640"/>
  </bookViews>
  <sheets>
    <sheet name="BY_Data" sheetId="6" r:id="rId1"/>
    <sheet name="CAR_De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2" l="1"/>
  <c r="G7" i="2"/>
  <c r="G6" i="2"/>
  <c r="G4" i="2"/>
  <c r="F6" i="2"/>
  <c r="F7" i="2"/>
  <c r="F5" i="2"/>
  <c r="F4" i="2"/>
</calcChain>
</file>

<file path=xl/comments1.xml><?xml version="1.0" encoding="utf-8"?>
<comments xmlns="http://schemas.openxmlformats.org/spreadsheetml/2006/main">
  <authors>
    <author>Maurizio Gargiulo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Insert Table</t>
        </r>
      </text>
    </comment>
  </commentList>
</comments>
</file>

<file path=xl/sharedStrings.xml><?xml version="1.0" encoding="utf-8"?>
<sst xmlns="http://schemas.openxmlformats.org/spreadsheetml/2006/main" count="34" uniqueCount="19">
  <si>
    <t>Year</t>
  </si>
  <si>
    <t>Cset_CN</t>
  </si>
  <si>
    <t>Attribute</t>
  </si>
  <si>
    <t>LimType</t>
  </si>
  <si>
    <t>~TFM_INS</t>
  </si>
  <si>
    <t>TimeSlice</t>
  </si>
  <si>
    <t>Trans - Insert</t>
  </si>
  <si>
    <t>REG2</t>
  </si>
  <si>
    <t>REG1</t>
  </si>
  <si>
    <t>Demand</t>
  </si>
  <si>
    <t>DTCAR</t>
  </si>
  <si>
    <t>Demand Driver (annual growth)</t>
  </si>
  <si>
    <t>~TFM_FILL</t>
  </si>
  <si>
    <t>Operation_Sum_Avg_Count</t>
  </si>
  <si>
    <t>Scenario Name</t>
  </si>
  <si>
    <t>A</t>
  </si>
  <si>
    <t>Reg1</t>
  </si>
  <si>
    <t>Reg2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</si>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</sst>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_-* #,##0.00_-;\-* #,##0.00_-;_-* &quot;-&quot;??_-;_-@_-"/>
  </numFmts>
  <fonts count="1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name val="Arial"/>
    </font>
    <font>
      <sz val="10"/>
      <name val="Courier"/>
      <family val="3"/>
    </font>
    <font>
      <b/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64C8FF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8" fillId="5" borderId="0" applyNumberFormat="0" applyBorder="0" applyAlignment="0" applyProtection="0"/>
    <xf numFmtId="171" fontId="8" fillId="0" borderId="0" applyFont="0" applyFill="0" applyBorder="0" applyAlignment="0" applyProtection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8" fillId="0" borderId="0"/>
    <xf numFmtId="0" fontId="2" fillId="0" borderId="0"/>
    <xf numFmtId="0" fontId="6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3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/>
    <xf numFmtId="0" fontId="1" fillId="3" borderId="1" xfId="0" applyFont="1" applyFill="1" applyBorder="1"/>
    <xf numFmtId="0" fontId="2" fillId="2" borderId="1" xfId="0" applyFont="1" applyFill="1" applyBorder="1"/>
    <xf numFmtId="0" fontId="5" fillId="0" borderId="0" xfId="5"/>
    <xf numFmtId="0" fontId="5" fillId="0" borderId="0" xfId="5" applyBorder="1"/>
    <xf numFmtId="0" fontId="7" fillId="4" borderId="1" xfId="5" applyFont="1" applyFill="1" applyBorder="1"/>
    <xf numFmtId="0" fontId="2" fillId="2" borderId="0" xfId="0" applyFont="1" applyFill="1" applyBorder="1"/>
    <xf numFmtId="9" fontId="0" fillId="0" borderId="0" xfId="0" applyNumberFormat="1"/>
    <xf numFmtId="0" fontId="9" fillId="0" borderId="0" xfId="0" applyFont="1"/>
    <xf numFmtId="2" fontId="9" fillId="6" borderId="0" xfId="0" applyNumberFormat="1" applyFont="1" applyFill="1"/>
    <xf numFmtId="1" fontId="0" fillId="0" borderId="0" xfId="0" applyNumberFormat="1"/>
    <xf numFmtId="0" fontId="10" fillId="7" borderId="0" xfId="1" applyFont="1" applyFill="1" applyBorder="1" applyAlignment="1">
      <alignment horizontal="center" wrapText="1"/>
    </xf>
  </cellXfs>
  <cellStyles count="19">
    <cellStyle name="40% - Accent3" xfId="1" builtinId="39"/>
    <cellStyle name="Comma 2" xfId="2"/>
    <cellStyle name="Normal" xfId="0" builtinId="0"/>
    <cellStyle name="Normal 10" xfId="3"/>
    <cellStyle name="Normal 2" xfId="4"/>
    <cellStyle name="Normal 3" xfId="5"/>
    <cellStyle name="Normal 4" xfId="6"/>
    <cellStyle name="Normal 4 2" xfId="7"/>
    <cellStyle name="Normal 8" xfId="8"/>
    <cellStyle name="Normal 9 2" xfId="9"/>
    <cellStyle name="Normale_B2020" xfId="10"/>
    <cellStyle name="Percent 2" xfId="11"/>
    <cellStyle name="Percent 3" xfId="12"/>
    <cellStyle name="Percent 3 2" xfId="13"/>
    <cellStyle name="Percent 4" xfId="14"/>
    <cellStyle name="Percent 4 2" xfId="15"/>
    <cellStyle name="Percent 5" xfId="16"/>
    <cellStyle name="Percent 6" xfId="17"/>
    <cellStyle name="Standard_Sce_D_Extraction" xfId="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7</xdr:col>
      <xdr:colOff>0</xdr:colOff>
      <xdr:row>12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51A15F2-E090-C147-AD78-C68D7D843D59}"/>
            </a:ext>
          </a:extLst>
        </xdr:cNvPr>
        <xdr:cNvSpPr txBox="1"/>
      </xdr:nvSpPr>
      <xdr:spPr>
        <a:xfrm>
          <a:off x="609600" y="1714500"/>
          <a:ext cx="6918960" cy="590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Table to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collect information from BY template (scenario column, Base) when this template in synchronised in VEDA-FE. This table collect data for the commodity DTCAR (Cset_CN) for the year 2005 and for the attribute demand.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190499</xdr:rowOff>
    </xdr:from>
    <xdr:to>
      <xdr:col>7</xdr:col>
      <xdr:colOff>0</xdr:colOff>
      <xdr:row>15</xdr:row>
      <xdr:rowOff>28574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794A293-7957-664B-9A0F-9F78E0156400}"/>
            </a:ext>
          </a:extLst>
        </xdr:cNvPr>
        <xdr:cNvSpPr txBox="1"/>
      </xdr:nvSpPr>
      <xdr:spPr>
        <a:xfrm>
          <a:off x="609600" y="2295524"/>
          <a:ext cx="3619500" cy="600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demand projection based on BY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collected in the BY_Data sheet.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4"/>
  <sheetViews>
    <sheetView tabSelected="1" workbookViewId="0">
      <selection activeCell="B16" sqref="B16"/>
    </sheetView>
  </sheetViews>
  <sheetFormatPr baseColWidth="10" defaultRowHeight="15"/>
  <cols>
    <col min="1" max="1" width="8.83203125" customWidth="1"/>
    <col min="2" max="2" width="26.5" bestFit="1" customWidth="1"/>
    <col min="3" max="3" width="8.83203125" customWidth="1"/>
    <col min="4" max="4" width="10.1640625" bestFit="1" customWidth="1"/>
    <col min="5" max="256" width="8.83203125" customWidth="1"/>
  </cols>
  <sheetData>
    <row r="2" spans="2:10">
      <c r="B2" s="1" t="s">
        <v>12</v>
      </c>
      <c r="C2" s="6"/>
      <c r="D2" s="6"/>
      <c r="E2" s="6"/>
      <c r="F2" s="6"/>
      <c r="G2" s="6"/>
      <c r="H2" s="6"/>
      <c r="I2" s="6"/>
    </row>
    <row r="3" spans="2:10" ht="16" thickBot="1">
      <c r="B3" s="8" t="s">
        <v>13</v>
      </c>
      <c r="C3" s="8" t="s">
        <v>14</v>
      </c>
      <c r="D3" s="3" t="s">
        <v>5</v>
      </c>
      <c r="E3" s="3" t="s">
        <v>3</v>
      </c>
      <c r="F3" s="3" t="s">
        <v>2</v>
      </c>
      <c r="G3" s="3" t="s">
        <v>0</v>
      </c>
      <c r="H3" s="4" t="s">
        <v>8</v>
      </c>
      <c r="I3" s="4" t="s">
        <v>7</v>
      </c>
      <c r="J3" s="5" t="s">
        <v>1</v>
      </c>
    </row>
    <row r="4" spans="2:10">
      <c r="B4" t="s">
        <v>15</v>
      </c>
      <c r="C4" s="11" t="s">
        <v>18</v>
      </c>
      <c r="F4" t="s">
        <v>9</v>
      </c>
      <c r="G4">
        <v>2005</v>
      </c>
      <c r="H4" s="12">
        <v>3100.59695159375</v>
      </c>
      <c r="I4" s="12">
        <v>3067.06485564375</v>
      </c>
      <c r="J4" t="s">
        <v>10</v>
      </c>
    </row>
  </sheetData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7"/>
  <sheetViews>
    <sheetView workbookViewId="0">
      <selection activeCell="D22" sqref="D22"/>
    </sheetView>
  </sheetViews>
  <sheetFormatPr baseColWidth="10" defaultRowHeight="15"/>
  <cols>
    <col min="1" max="1" width="8.83203125" customWidth="1"/>
    <col min="2" max="2" width="10.1640625" bestFit="1" customWidth="1"/>
    <col min="3" max="3" width="8.83203125" bestFit="1" customWidth="1"/>
    <col min="4" max="4" width="8.6640625" bestFit="1" customWidth="1"/>
    <col min="5" max="5" width="5.1640625" bestFit="1" customWidth="1"/>
    <col min="6" max="7" width="10.6640625" customWidth="1"/>
    <col min="8" max="8" width="8.5" bestFit="1" customWidth="1"/>
    <col min="9" max="10" width="8.83203125" customWidth="1"/>
    <col min="11" max="11" width="14.83203125" customWidth="1"/>
    <col min="12" max="256" width="8.83203125" customWidth="1"/>
  </cols>
  <sheetData>
    <row r="1" spans="1:12">
      <c r="A1" t="s">
        <v>6</v>
      </c>
    </row>
    <row r="2" spans="1:12">
      <c r="B2" s="1" t="s">
        <v>4</v>
      </c>
      <c r="H2" s="2"/>
      <c r="K2" s="14" t="s">
        <v>11</v>
      </c>
      <c r="L2" s="14"/>
    </row>
    <row r="3" spans="1:12" ht="16" thickBot="1">
      <c r="B3" s="3" t="s">
        <v>5</v>
      </c>
      <c r="C3" s="3" t="s">
        <v>3</v>
      </c>
      <c r="D3" s="3" t="s">
        <v>2</v>
      </c>
      <c r="E3" s="3" t="s">
        <v>0</v>
      </c>
      <c r="F3" s="4" t="s">
        <v>8</v>
      </c>
      <c r="G3" s="4" t="s">
        <v>7</v>
      </c>
      <c r="H3" s="5" t="s">
        <v>1</v>
      </c>
      <c r="K3" s="9" t="s">
        <v>16</v>
      </c>
      <c r="L3" s="9" t="s">
        <v>17</v>
      </c>
    </row>
    <row r="4" spans="1:12">
      <c r="D4" t="s">
        <v>9</v>
      </c>
      <c r="E4">
        <v>2006</v>
      </c>
      <c r="F4" s="13">
        <f>BY_Data!$H$4*(1+$K$4)^(E4-2005)</f>
        <v>3162.608890625625</v>
      </c>
      <c r="G4" s="13">
        <f>BY_Data!$H$4*(1+$L$4)^(E4-2005)</f>
        <v>3193.6148601415625</v>
      </c>
      <c r="H4" s="7" t="s">
        <v>10</v>
      </c>
      <c r="K4" s="10">
        <v>0.02</v>
      </c>
      <c r="L4" s="10">
        <v>0.03</v>
      </c>
    </row>
    <row r="5" spans="1:12">
      <c r="D5" t="s">
        <v>9</v>
      </c>
      <c r="E5">
        <v>2010</v>
      </c>
      <c r="F5" s="13">
        <f>BY_Data!$H$4*(1+$K$4)^(E5-2005)</f>
        <v>3423.309572715099</v>
      </c>
      <c r="G5" s="13">
        <f>BY_Data!$H$4*(1+$L$4)^(E5-2005)</f>
        <v>3594.4416608362458</v>
      </c>
      <c r="H5" s="7" t="s">
        <v>10</v>
      </c>
      <c r="K5" s="10"/>
      <c r="L5" s="10"/>
    </row>
    <row r="6" spans="1:12">
      <c r="D6" t="s">
        <v>9</v>
      </c>
      <c r="E6">
        <v>2015</v>
      </c>
      <c r="F6" s="13">
        <f>BY_Data!$H$4*(1+$K$4)^(E6-2005)</f>
        <v>3779.6103826455351</v>
      </c>
      <c r="G6" s="13">
        <f>BY_Data!$H$4*(1+$L$4)^(E6-2005)</f>
        <v>4166.9430289912934</v>
      </c>
      <c r="H6" s="7" t="s">
        <v>10</v>
      </c>
      <c r="K6" s="10"/>
      <c r="L6" s="10"/>
    </row>
    <row r="7" spans="1:12">
      <c r="D7" t="s">
        <v>9</v>
      </c>
      <c r="E7">
        <v>2020</v>
      </c>
      <c r="F7" s="13">
        <f>BY_Data!$H$4*(1+$K$4)^(E7-2005)</f>
        <v>4172.9952670543407</v>
      </c>
      <c r="G7" s="13">
        <f>BY_Data!$H$4*(1+$L$4)^(E7-2005)</f>
        <v>4830.6290225947205</v>
      </c>
      <c r="H7" s="7" t="s">
        <v>10</v>
      </c>
      <c r="K7" s="10"/>
      <c r="L7" s="10"/>
    </row>
  </sheetData>
  <mergeCells count="1">
    <mergeCell ref="K2:L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BY_Data</vt:lpstr>
      <vt:lpstr>CAR_Dem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2009-05-27T15:40:55Z</dcterms:created>
  <dcterms:modified xsi:type="dcterms:W3CDTF">2020-07-06T10:16:15Z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585486888885498</vt:lpwstr>
  </property>
</Properties>
</file>